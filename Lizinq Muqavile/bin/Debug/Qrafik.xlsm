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revisions/revisionHeaders.xml" ContentType="application/vnd.openxmlformats-officedocument.spreadsheetml.revisionHeaders+xml"/>
  <Override PartName="/xl/revisions/revisionLog24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8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17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23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mikah\Desktop\Lizinq Muqavile\Lizinq Muqavile\bin\Debug\"/>
    </mc:Choice>
  </mc:AlternateContent>
  <bookViews>
    <workbookView xWindow="0" yWindow="0" windowWidth="20490" windowHeight="7905" activeTab="1"/>
  </bookViews>
  <sheets>
    <sheet name="Main" sheetId="1" r:id="rId1"/>
    <sheet name="Load" sheetId="2" r:id="rId2"/>
    <sheet name="Mirror for payments" sheetId="3" r:id="rId3"/>
    <sheet name="AZN only" sheetId="4" r:id="rId4"/>
    <sheet name="Expenses" sheetId="5" r:id="rId5"/>
    <sheet name="Dates" sheetId="6" r:id="rId6"/>
    <sheet name="Languages" sheetId="7" r:id="rId7"/>
  </sheets>
  <externalReferences>
    <externalReference r:id="rId8"/>
  </externalReferences>
  <definedNames>
    <definedName name="_xlnm.Print_Area" localSheetId="3">'AZN only'!$A$1:$H$120</definedName>
    <definedName name="_xlnm.Print_Area" localSheetId="6">Languages!$A$1:$D$148</definedName>
    <definedName name="_xlnm.Print_Area" localSheetId="2">'Mirror for payments'!$A$1:$H$71</definedName>
    <definedName name="Z_13FA8F4C_0951_4875_9D44_4989C5CEBB01_.wvu.PrintArea" localSheetId="3" hidden="1">'AZN only'!$A$1:$H$120</definedName>
    <definedName name="Z_13FA8F4C_0951_4875_9D44_4989C5CEBB01_.wvu.PrintArea" localSheetId="6" hidden="1">Languages!$A$1:$D$148</definedName>
    <definedName name="Z_13FA8F4C_0951_4875_9D44_4989C5CEBB01_.wvu.PrintArea" localSheetId="2" hidden="1">'Mirror for payments'!$A$1:$H$71</definedName>
    <definedName name="Z_13FA8F4C_0951_4875_9D44_4989C5CEBB01_.wvu.Rows" localSheetId="3" hidden="1">'AZN only'!$17:$17,'AZN only'!$21:$21</definedName>
    <definedName name="Z_13FA8F4C_0951_4875_9D44_4989C5CEBB01_.wvu.Rows" localSheetId="2" hidden="1">'Mirror for payments'!$12:$12,'Mirror for payments'!$21:$21</definedName>
    <definedName name="Z_2D8FE04E_10B5_4EAA_93D2_EE669C206AFD_.wvu.PrintArea" localSheetId="3" hidden="1">'AZN only'!$A$1:$H$120</definedName>
    <definedName name="Z_2D8FE04E_10B5_4EAA_93D2_EE669C206AFD_.wvu.PrintArea" localSheetId="6" hidden="1">Languages!$A$1:$D$148</definedName>
    <definedName name="Z_2D8FE04E_10B5_4EAA_93D2_EE669C206AFD_.wvu.PrintArea" localSheetId="2" hidden="1">'Mirror for payments'!$A$1:$H$71</definedName>
    <definedName name="Z_2D8FE04E_10B5_4EAA_93D2_EE669C206AFD_.wvu.Rows" localSheetId="3" hidden="1">'AZN only'!$17:$17,'AZN only'!$21:$21</definedName>
    <definedName name="Z_2D8FE04E_10B5_4EAA_93D2_EE669C206AFD_.wvu.Rows" localSheetId="2" hidden="1">'Mirror for payments'!$12:$12,'Mirror for payments'!$21:$21</definedName>
    <definedName name="Z_5171270A_F9AF_4D41_A7C6_60AFF57C569E_.wvu.PrintArea" localSheetId="3" hidden="1">'AZN only'!$A$1:$H$120</definedName>
    <definedName name="Z_5171270A_F9AF_4D41_A7C6_60AFF57C569E_.wvu.PrintArea" localSheetId="6" hidden="1">Languages!$A$1:$D$148</definedName>
    <definedName name="Z_5171270A_F9AF_4D41_A7C6_60AFF57C569E_.wvu.PrintArea" localSheetId="2" hidden="1">'Mirror for payments'!$A$1:$H$71</definedName>
    <definedName name="Z_5171270A_F9AF_4D41_A7C6_60AFF57C569E_.wvu.Rows" localSheetId="3" hidden="1">'AZN only'!$17:$17,'AZN only'!$21:$21</definedName>
    <definedName name="Z_5171270A_F9AF_4D41_A7C6_60AFF57C569E_.wvu.Rows" localSheetId="2" hidden="1">'Mirror for payments'!$12:$12,'Mirror for payments'!$21:$21</definedName>
    <definedName name="Z_77B961DF_431A_4785_A57B_FF1BA0586569_.wvu.PrintArea" localSheetId="3" hidden="1">'AZN only'!$A$1:$H$120</definedName>
    <definedName name="Z_77B961DF_431A_4785_A57B_FF1BA0586569_.wvu.PrintArea" localSheetId="6" hidden="1">Languages!$A$1:$D$148</definedName>
    <definedName name="Z_77B961DF_431A_4785_A57B_FF1BA0586569_.wvu.PrintArea" localSheetId="2" hidden="1">'Mirror for payments'!$A$1:$H$71</definedName>
    <definedName name="Z_77B961DF_431A_4785_A57B_FF1BA0586569_.wvu.Rows" localSheetId="3" hidden="1">'AZN only'!$17:$17,'AZN only'!$21:$21</definedName>
    <definedName name="Z_77B961DF_431A_4785_A57B_FF1BA0586569_.wvu.Rows" localSheetId="2" hidden="1">'Mirror for payments'!$12:$13,'Mirror for payments'!$21:$21</definedName>
    <definedName name="Z_AD887635_810A_407C_BA16_5AFA4A800B29_.wvu.PrintArea" localSheetId="3" hidden="1">'AZN only'!$A$1:$H$120</definedName>
    <definedName name="Z_AD887635_810A_407C_BA16_5AFA4A800B29_.wvu.PrintArea" localSheetId="6" hidden="1">Languages!$A$1:$D$148</definedName>
    <definedName name="Z_AD887635_810A_407C_BA16_5AFA4A800B29_.wvu.PrintArea" localSheetId="2" hidden="1">'Mirror for payments'!$A$1:$H$71</definedName>
    <definedName name="Z_AD887635_810A_407C_BA16_5AFA4A800B29_.wvu.Rows" localSheetId="3" hidden="1">'AZN only'!$17:$17,'AZN only'!$21:$21</definedName>
    <definedName name="Z_AD887635_810A_407C_BA16_5AFA4A800B29_.wvu.Rows" localSheetId="2" hidden="1">'Mirror for payments'!$12:$13,'Mirror for payments'!$21:$21</definedName>
    <definedName name="Z_C56ABC15_C776_4280_9985_F20AC3F66C8A_.wvu.PrintArea" localSheetId="3" hidden="1">'AZN only'!$A$1:$H$120</definedName>
    <definedName name="Z_C56ABC15_C776_4280_9985_F20AC3F66C8A_.wvu.PrintArea" localSheetId="6" hidden="1">Languages!$A$1:$D$148</definedName>
    <definedName name="Z_C56ABC15_C776_4280_9985_F20AC3F66C8A_.wvu.PrintArea" localSheetId="2" hidden="1">'Mirror for payments'!$A$1:$H$71</definedName>
    <definedName name="Z_C56ABC15_C776_4280_9985_F20AC3F66C8A_.wvu.Rows" localSheetId="3" hidden="1">'AZN only'!$17:$17,'AZN only'!$21:$21</definedName>
    <definedName name="Z_C56ABC15_C776_4280_9985_F20AC3F66C8A_.wvu.Rows" localSheetId="2" hidden="1">'Mirror for payments'!$12:$12,'Mirror for payments'!$21:$21</definedName>
  </definedNames>
  <calcPr calcId="152511"/>
  <customWorkbookViews>
    <customWorkbookView name="Namik A. Heydarov - Personal View" guid="{2D8FE04E-10B5-4EAA-93D2-EE669C206AFD}" mergeInterval="0" personalView="1" windowWidth="1366" windowHeight="738" activeSheetId="2"/>
    <customWorkbookView name="Namik Heydarov - Personal View" guid="{5171270A-F9AF-4D41-A7C6-60AFF57C569E}" mergeInterval="0" personalView="1" maximized="1" xWindow="-8" yWindow="-8" windowWidth="1382" windowHeight="754" activeSheetId="3"/>
    <customWorkbookView name="Namik Heydarov - Личное представление" guid="{13FA8F4C-0951-4875-9D44-4989C5CEBB01}" mergeInterval="0" personalView="1" maximized="1" xWindow="-8" yWindow="-8" windowWidth="1382" windowHeight="754" activeSheetId="3"/>
    <customWorkbookView name="namiq.heydarov - Personal View" guid="{77B961DF-431A-4785-A57B-FF1BA0586569}" mergeInterval="0" personalView="1" maximized="1" windowWidth="1276" windowHeight="850" activeSheetId="1"/>
    <customWorkbookView name="Administrator - Personal View" guid="{AD887635-810A-407C-BA16-5AFA4A800B29}" mergeInterval="0" personalView="1" maximized="1" windowWidth="1276" windowHeight="850" activeSheetId="3"/>
    <customWorkbookView name="Rashad Musayev - Личное представление" guid="{C56ABC15-C776-4280-9985-F20AC3F66C8A}" mergeInterval="0" personalView="1" maximized="1" xWindow="-8" yWindow="-8" windowWidth="1382" windowHeight="744" activeSheetId="3"/>
  </customWorkbookViews>
</workbook>
</file>

<file path=xl/calcChain.xml><?xml version="1.0" encoding="utf-8"?>
<calcChain xmlns="http://schemas.openxmlformats.org/spreadsheetml/2006/main">
  <c r="C61" i="3" l="1"/>
  <c r="A123" i="7" l="1"/>
  <c r="B19" i="7" l="1"/>
  <c r="B20" i="7"/>
  <c r="B21" i="7"/>
  <c r="B22" i="7"/>
  <c r="B29" i="7"/>
  <c r="B30" i="7"/>
  <c r="B31" i="7"/>
  <c r="B40" i="7"/>
  <c r="B41" i="7"/>
  <c r="B42" i="7"/>
  <c r="B50" i="7"/>
  <c r="B51" i="7"/>
  <c r="A64" i="7"/>
  <c r="B64" i="7"/>
  <c r="C64" i="7"/>
  <c r="A65" i="7"/>
  <c r="B73" i="7" s="1"/>
  <c r="B65" i="7"/>
  <c r="C65" i="7"/>
  <c r="A66" i="7"/>
  <c r="B66" i="7"/>
  <c r="C66" i="7"/>
  <c r="A67" i="7"/>
  <c r="B67" i="7"/>
  <c r="C67" i="7"/>
  <c r="A68" i="7"/>
  <c r="B68" i="7"/>
  <c r="C68" i="7"/>
  <c r="A69" i="7"/>
  <c r="B77" i="7" s="1"/>
  <c r="B69" i="7"/>
  <c r="C69" i="7"/>
  <c r="A70" i="7"/>
  <c r="B70" i="7"/>
  <c r="C70" i="7"/>
  <c r="B72" i="7"/>
  <c r="B74" i="7"/>
  <c r="B75" i="7"/>
  <c r="B76" i="7"/>
  <c r="B78" i="7"/>
  <c r="B81" i="7"/>
  <c r="B82" i="7"/>
  <c r="B83" i="7"/>
  <c r="B84" i="7"/>
  <c r="B86" i="7"/>
  <c r="B87" i="7"/>
  <c r="B90" i="7"/>
  <c r="C64" i="3" s="1"/>
  <c r="B93" i="7"/>
  <c r="F14" i="3" s="1"/>
  <c r="B94" i="7"/>
  <c r="F15" i="4" s="1"/>
  <c r="B96" i="7"/>
  <c r="B98" i="7"/>
  <c r="B100" i="7"/>
  <c r="B102" i="7"/>
  <c r="B104" i="7"/>
  <c r="B106" i="7"/>
  <c r="B108" i="7"/>
  <c r="B110" i="7"/>
  <c r="B112" i="7"/>
  <c r="B114" i="7"/>
  <c r="A115" i="7"/>
  <c r="B116" i="7" s="1"/>
  <c r="B115" i="7"/>
  <c r="C115" i="7"/>
  <c r="A117" i="7"/>
  <c r="B118" i="7" s="1"/>
  <c r="B117" i="7"/>
  <c r="C117" i="7"/>
  <c r="A119" i="7"/>
  <c r="B120" i="7" s="1"/>
  <c r="B119" i="7"/>
  <c r="C119" i="7"/>
  <c r="B122" i="7"/>
  <c r="B124" i="7"/>
  <c r="B123" i="7"/>
  <c r="C123" i="7"/>
  <c r="B136" i="7"/>
  <c r="B144" i="7"/>
  <c r="B145" i="7"/>
  <c r="B154" i="7"/>
  <c r="B156" i="7"/>
  <c r="B158" i="7"/>
  <c r="B160" i="7"/>
  <c r="B163" i="7"/>
  <c r="B164" i="7"/>
  <c r="G1" i="6"/>
  <c r="H1" i="6"/>
  <c r="I1" i="6"/>
  <c r="W1" i="6"/>
  <c r="AA1" i="6"/>
  <c r="H2" i="6"/>
  <c r="I2" i="6" s="1"/>
  <c r="J2" i="6" s="1"/>
  <c r="N2" i="6"/>
  <c r="N4" i="6" s="1"/>
  <c r="W2" i="6"/>
  <c r="AA2" i="6"/>
  <c r="W3" i="6"/>
  <c r="AA3" i="6"/>
  <c r="W4" i="6"/>
  <c r="AA4" i="6"/>
  <c r="W5" i="6"/>
  <c r="AA5" i="6"/>
  <c r="W6" i="6"/>
  <c r="AA6" i="6"/>
  <c r="W7" i="6"/>
  <c r="AA7" i="6"/>
  <c r="W8" i="6"/>
  <c r="AA8" i="6"/>
  <c r="W9" i="6"/>
  <c r="AA9" i="6"/>
  <c r="W10" i="6"/>
  <c r="AA10" i="6"/>
  <c r="W11" i="6"/>
  <c r="AA11" i="6"/>
  <c r="W12" i="6"/>
  <c r="AA12" i="6"/>
  <c r="W13" i="6"/>
  <c r="AA13" i="6"/>
  <c r="W14" i="6"/>
  <c r="AA14" i="6"/>
  <c r="W15" i="6"/>
  <c r="AA15" i="6"/>
  <c r="W16" i="6"/>
  <c r="AA16" i="6"/>
  <c r="W17" i="6"/>
  <c r="AA17" i="6"/>
  <c r="W18" i="6"/>
  <c r="AA18" i="6"/>
  <c r="W19" i="6"/>
  <c r="AA19" i="6"/>
  <c r="W20" i="6"/>
  <c r="AA20" i="6"/>
  <c r="W21" i="6"/>
  <c r="AA21" i="6"/>
  <c r="W22" i="6"/>
  <c r="AA22" i="6"/>
  <c r="W23" i="6"/>
  <c r="AA23" i="6"/>
  <c r="W24" i="6"/>
  <c r="AA24" i="6"/>
  <c r="W25" i="6"/>
  <c r="AA25" i="6"/>
  <c r="W26" i="6"/>
  <c r="AA26" i="6"/>
  <c r="W27" i="6"/>
  <c r="AA27" i="6"/>
  <c r="W28" i="6"/>
  <c r="AA28" i="6"/>
  <c r="W29" i="6"/>
  <c r="AA29" i="6"/>
  <c r="W30" i="6"/>
  <c r="AA30" i="6"/>
  <c r="W31" i="6"/>
  <c r="AA31" i="6"/>
  <c r="W32" i="6"/>
  <c r="AA32" i="6"/>
  <c r="W33" i="6"/>
  <c r="AA33" i="6"/>
  <c r="W34" i="6"/>
  <c r="AA34" i="6"/>
  <c r="W35" i="6"/>
  <c r="AA35" i="6"/>
  <c r="W36" i="6"/>
  <c r="AA36" i="6"/>
  <c r="W37" i="6"/>
  <c r="AA37" i="6"/>
  <c r="W38" i="6"/>
  <c r="AA38" i="6"/>
  <c r="W39" i="6"/>
  <c r="AA39" i="6"/>
  <c r="W40" i="6"/>
  <c r="AA40" i="6"/>
  <c r="W41" i="6"/>
  <c r="AA41" i="6"/>
  <c r="W42" i="6"/>
  <c r="AA42" i="6"/>
  <c r="W43" i="6"/>
  <c r="AA43" i="6"/>
  <c r="Q44" i="6"/>
  <c r="S44" i="6"/>
  <c r="W44" i="6"/>
  <c r="AA44" i="6"/>
  <c r="P45" i="6"/>
  <c r="R45" i="6" s="1"/>
  <c r="Q45" i="6"/>
  <c r="S45" i="6"/>
  <c r="W45" i="6"/>
  <c r="AA45" i="6"/>
  <c r="P46" i="6"/>
  <c r="R46" i="6" s="1"/>
  <c r="Q46" i="6"/>
  <c r="S46" i="6"/>
  <c r="W46" i="6"/>
  <c r="AA46" i="6"/>
  <c r="P47" i="6"/>
  <c r="R47" i="6" s="1"/>
  <c r="Q47" i="6"/>
  <c r="S47" i="6"/>
  <c r="W47" i="6"/>
  <c r="AA47" i="6"/>
  <c r="P48" i="6"/>
  <c r="R48" i="6" s="1"/>
  <c r="Q48" i="6"/>
  <c r="S48" i="6"/>
  <c r="W48" i="6"/>
  <c r="AA48" i="6"/>
  <c r="P49" i="6"/>
  <c r="R49" i="6" s="1"/>
  <c r="Q49" i="6"/>
  <c r="S49" i="6"/>
  <c r="W49" i="6"/>
  <c r="AA49" i="6"/>
  <c r="P50" i="6"/>
  <c r="R50" i="6" s="1"/>
  <c r="Q50" i="6"/>
  <c r="S50" i="6"/>
  <c r="W50" i="6"/>
  <c r="AA50" i="6"/>
  <c r="P51" i="6"/>
  <c r="R51" i="6" s="1"/>
  <c r="Q51" i="6"/>
  <c r="S51" i="6"/>
  <c r="W51" i="6"/>
  <c r="AA51" i="6"/>
  <c r="P52" i="6"/>
  <c r="R52" i="6" s="1"/>
  <c r="Q52" i="6"/>
  <c r="S52" i="6"/>
  <c r="W52" i="6"/>
  <c r="AA52" i="6"/>
  <c r="P53" i="6"/>
  <c r="R53" i="6" s="1"/>
  <c r="Q53" i="6"/>
  <c r="S53" i="6"/>
  <c r="W53" i="6"/>
  <c r="AA53" i="6"/>
  <c r="P54" i="6"/>
  <c r="R54" i="6" s="1"/>
  <c r="Q54" i="6"/>
  <c r="S54" i="6"/>
  <c r="W54" i="6"/>
  <c r="AA54" i="6"/>
  <c r="P55" i="6"/>
  <c r="R55" i="6" s="1"/>
  <c r="Q55" i="6"/>
  <c r="S55" i="6"/>
  <c r="W55" i="6"/>
  <c r="AA55" i="6"/>
  <c r="P56" i="6"/>
  <c r="R56" i="6" s="1"/>
  <c r="Q56" i="6"/>
  <c r="S56" i="6"/>
  <c r="W56" i="6"/>
  <c r="AA56" i="6"/>
  <c r="P57" i="6"/>
  <c r="R57" i="6" s="1"/>
  <c r="Q57" i="6"/>
  <c r="S57" i="6"/>
  <c r="W57" i="6"/>
  <c r="AA57" i="6"/>
  <c r="P58" i="6"/>
  <c r="R58" i="6" s="1"/>
  <c r="Q58" i="6"/>
  <c r="S58" i="6"/>
  <c r="W58" i="6"/>
  <c r="AA58" i="6"/>
  <c r="P59" i="6"/>
  <c r="R59" i="6" s="1"/>
  <c r="Q59" i="6"/>
  <c r="S59" i="6"/>
  <c r="W59" i="6"/>
  <c r="AA59" i="6"/>
  <c r="P60" i="6"/>
  <c r="R60" i="6" s="1"/>
  <c r="Q60" i="6"/>
  <c r="S60" i="6"/>
  <c r="W60" i="6"/>
  <c r="AA60" i="6"/>
  <c r="P61" i="6"/>
  <c r="R61" i="6" s="1"/>
  <c r="Q61" i="6"/>
  <c r="S61" i="6"/>
  <c r="A2" i="5"/>
  <c r="D4" i="5"/>
  <c r="E4" i="5"/>
  <c r="A5" i="5"/>
  <c r="C5" i="5"/>
  <c r="D5" i="5"/>
  <c r="A6" i="5"/>
  <c r="D6" i="5"/>
  <c r="A7" i="5"/>
  <c r="D7" i="5"/>
  <c r="A9" i="5"/>
  <c r="C9" i="5"/>
  <c r="D9" i="5"/>
  <c r="A10" i="5"/>
  <c r="D10" i="5"/>
  <c r="A11" i="5"/>
  <c r="D11" i="5"/>
  <c r="E11" i="5"/>
  <c r="A12" i="5"/>
  <c r="D12" i="5"/>
  <c r="E12" i="5"/>
  <c r="A14" i="5"/>
  <c r="D14" i="5"/>
  <c r="A17" i="5"/>
  <c r="A19" i="5"/>
  <c r="D19" i="5"/>
  <c r="E19" i="5"/>
  <c r="A20" i="5"/>
  <c r="D20" i="5"/>
  <c r="E20" i="5"/>
  <c r="B21" i="5"/>
  <c r="D21" i="5"/>
  <c r="E21" i="5"/>
  <c r="B22" i="5"/>
  <c r="D22" i="5"/>
  <c r="E22" i="5"/>
  <c r="B23" i="5"/>
  <c r="D23" i="5"/>
  <c r="E23" i="5"/>
  <c r="B24" i="5"/>
  <c r="D24" i="5"/>
  <c r="E24" i="5"/>
  <c r="A25" i="5"/>
  <c r="D25" i="5"/>
  <c r="E25" i="5"/>
  <c r="A26" i="5"/>
  <c r="D26" i="5"/>
  <c r="E26" i="5"/>
  <c r="A27" i="5"/>
  <c r="D27" i="5"/>
  <c r="E27" i="5"/>
  <c r="A28" i="5"/>
  <c r="D28" i="5"/>
  <c r="E28" i="5"/>
  <c r="A29" i="5"/>
  <c r="D29" i="5"/>
  <c r="E29" i="5"/>
  <c r="A30" i="5"/>
  <c r="D30" i="5"/>
  <c r="E30" i="5"/>
  <c r="A31" i="5"/>
  <c r="D31" i="5"/>
  <c r="E31" i="5"/>
  <c r="A32" i="5"/>
  <c r="D32" i="5"/>
  <c r="E32" i="5"/>
  <c r="B33" i="5"/>
  <c r="D33" i="5"/>
  <c r="E33" i="5"/>
  <c r="B34" i="5"/>
  <c r="D34" i="5"/>
  <c r="E34" i="5"/>
  <c r="B35" i="5"/>
  <c r="D35" i="5"/>
  <c r="E35" i="5"/>
  <c r="A36" i="5"/>
  <c r="D36" i="5"/>
  <c r="E36" i="5"/>
  <c r="A37" i="5"/>
  <c r="D37" i="5"/>
  <c r="E37" i="5"/>
  <c r="A38" i="5"/>
  <c r="D38" i="5"/>
  <c r="E38" i="5"/>
  <c r="A39" i="5"/>
  <c r="D39" i="5"/>
  <c r="E39" i="5"/>
  <c r="A40" i="5"/>
  <c r="D40" i="5"/>
  <c r="E40" i="5"/>
  <c r="A41" i="5"/>
  <c r="D41" i="5"/>
  <c r="E41" i="5"/>
  <c r="D42" i="5"/>
  <c r="E42" i="5"/>
  <c r="A43" i="5"/>
  <c r="D43" i="5"/>
  <c r="A45" i="5"/>
  <c r="A46" i="5"/>
  <c r="D46" i="5"/>
  <c r="E46" i="5"/>
  <c r="A47" i="5"/>
  <c r="D47" i="5"/>
  <c r="A48" i="5"/>
  <c r="D48" i="5"/>
  <c r="E48" i="5"/>
  <c r="A49" i="5"/>
  <c r="D49" i="5"/>
  <c r="A50" i="5"/>
  <c r="D50" i="5"/>
  <c r="A51" i="5"/>
  <c r="D51" i="5"/>
  <c r="A53" i="5"/>
  <c r="D53" i="5"/>
  <c r="A56" i="5"/>
  <c r="A58" i="5"/>
  <c r="D58" i="5"/>
  <c r="A1" i="4"/>
  <c r="C4" i="4"/>
  <c r="D5" i="4"/>
  <c r="D6" i="4"/>
  <c r="D7" i="4"/>
  <c r="D8" i="4"/>
  <c r="D9" i="4"/>
  <c r="D10" i="4"/>
  <c r="D11" i="4"/>
  <c r="D12" i="4"/>
  <c r="D13" i="4"/>
  <c r="D14" i="4"/>
  <c r="E14" i="4"/>
  <c r="A24" i="4" s="1"/>
  <c r="D15" i="4"/>
  <c r="E15" i="4"/>
  <c r="D16" i="4"/>
  <c r="D17" i="4"/>
  <c r="E17" i="4"/>
  <c r="B19" i="4"/>
  <c r="C19" i="4"/>
  <c r="D19" i="4"/>
  <c r="E19" i="4"/>
  <c r="F19" i="4"/>
  <c r="G19" i="4"/>
  <c r="H19" i="4"/>
  <c r="A20" i="4"/>
  <c r="B20" i="4"/>
  <c r="C20" i="4"/>
  <c r="D21" i="4"/>
  <c r="E21" i="4"/>
  <c r="G21" i="4"/>
  <c r="A22" i="4"/>
  <c r="B22" i="4"/>
  <c r="H58" i="4"/>
  <c r="D84" i="4"/>
  <c r="E84" i="4"/>
  <c r="D85" i="4"/>
  <c r="E85" i="4"/>
  <c r="D86" i="4"/>
  <c r="E86" i="4"/>
  <c r="F86" i="4"/>
  <c r="D87" i="4"/>
  <c r="E87" i="4"/>
  <c r="F87" i="4"/>
  <c r="D88" i="4"/>
  <c r="E88" i="4"/>
  <c r="F88" i="4"/>
  <c r="D89" i="4"/>
  <c r="E89" i="4"/>
  <c r="F89" i="4"/>
  <c r="C90" i="4"/>
  <c r="D90" i="4"/>
  <c r="E90" i="4"/>
  <c r="F90" i="4"/>
  <c r="C91" i="4"/>
  <c r="D91" i="4"/>
  <c r="E91" i="4"/>
  <c r="F91" i="4"/>
  <c r="C4" i="3"/>
  <c r="F4" i="3"/>
  <c r="D5" i="3"/>
  <c r="D6" i="3"/>
  <c r="F6" i="3"/>
  <c r="D7" i="3"/>
  <c r="D8" i="3"/>
  <c r="F8" i="3"/>
  <c r="D9" i="3"/>
  <c r="F9" i="3"/>
  <c r="D10" i="3"/>
  <c r="F10" i="3"/>
  <c r="D11" i="3"/>
  <c r="F11" i="3"/>
  <c r="D12" i="3"/>
  <c r="E12" i="3"/>
  <c r="E12" i="4" s="1"/>
  <c r="F12" i="3"/>
  <c r="D13" i="3"/>
  <c r="F13" i="3"/>
  <c r="D14" i="3"/>
  <c r="E14" i="3"/>
  <c r="D15" i="3"/>
  <c r="E15" i="3"/>
  <c r="D16" i="3"/>
  <c r="D17" i="3"/>
  <c r="E17" i="3"/>
  <c r="B19" i="3"/>
  <c r="C19" i="3"/>
  <c r="D19" i="3"/>
  <c r="E19" i="3"/>
  <c r="F21" i="3" s="1"/>
  <c r="F21" i="4" s="1"/>
  <c r="F19" i="3"/>
  <c r="H19" i="3"/>
  <c r="A20" i="3"/>
  <c r="B20" i="3"/>
  <c r="A22" i="3"/>
  <c r="B22" i="3"/>
  <c r="G22" i="3"/>
  <c r="G22" i="4" s="1"/>
  <c r="G23" i="3"/>
  <c r="G23" i="4" s="1"/>
  <c r="B5" i="2"/>
  <c r="B6" i="2"/>
  <c r="B7" i="2"/>
  <c r="B8" i="2"/>
  <c r="B9" i="2"/>
  <c r="B10" i="2"/>
  <c r="B11" i="2"/>
  <c r="B12" i="2"/>
  <c r="B13" i="2"/>
  <c r="B15" i="2"/>
  <c r="B16" i="2"/>
  <c r="B17" i="2"/>
  <c r="B19" i="2"/>
  <c r="B20" i="2"/>
  <c r="E20" i="2"/>
  <c r="B21" i="2"/>
  <c r="B22" i="2"/>
  <c r="B23" i="2"/>
  <c r="B24" i="2"/>
  <c r="B25" i="2"/>
  <c r="B26" i="2"/>
  <c r="B27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7" i="2"/>
  <c r="B49" i="2"/>
  <c r="B50" i="2"/>
  <c r="B51" i="2"/>
  <c r="B52" i="2"/>
  <c r="B53" i="2"/>
  <c r="B54" i="2"/>
  <c r="G45" i="3" l="1"/>
  <c r="G45" i="4" s="1"/>
  <c r="C64" i="4"/>
  <c r="F14" i="4"/>
  <c r="G77" i="3"/>
  <c r="G77" i="4" s="1"/>
  <c r="D75" i="3"/>
  <c r="D75" i="4" s="1"/>
  <c r="G60" i="3"/>
  <c r="G60" i="4" s="1"/>
  <c r="H89" i="3"/>
  <c r="H89" i="4" s="1"/>
  <c r="D69" i="3"/>
  <c r="D69" i="4" s="1"/>
  <c r="A26" i="3"/>
  <c r="G84" i="3"/>
  <c r="G84" i="4" s="1"/>
  <c r="E65" i="3"/>
  <c r="E65" i="4" s="1"/>
  <c r="E81" i="3"/>
  <c r="E81" i="4" s="1"/>
  <c r="H67" i="3"/>
  <c r="H67" i="4" s="1"/>
  <c r="G53" i="3"/>
  <c r="G53" i="4" s="1"/>
  <c r="A74" i="3"/>
  <c r="A29" i="4"/>
  <c r="A80" i="3"/>
  <c r="G71" i="3"/>
  <c r="G71" i="4" s="1"/>
  <c r="G41" i="3"/>
  <c r="G41" i="4" s="1"/>
  <c r="B78" i="4"/>
  <c r="B67" i="4"/>
  <c r="A58" i="4"/>
  <c r="A61" i="4"/>
  <c r="A43" i="4"/>
  <c r="B73" i="4"/>
  <c r="C86" i="3"/>
  <c r="C86" i="4" s="1"/>
  <c r="H80" i="3"/>
  <c r="H80" i="4" s="1"/>
  <c r="A77" i="3"/>
  <c r="D72" i="3"/>
  <c r="D72" i="4" s="1"/>
  <c r="E68" i="3"/>
  <c r="E68" i="4" s="1"/>
  <c r="G57" i="3"/>
  <c r="G57" i="4" s="1"/>
  <c r="A34" i="3"/>
  <c r="B81" i="4"/>
  <c r="B70" i="4"/>
  <c r="A37" i="4"/>
  <c r="G92" i="3"/>
  <c r="D83" i="3"/>
  <c r="D83" i="4" s="1"/>
  <c r="E78" i="3"/>
  <c r="E78" i="4" s="1"/>
  <c r="G74" i="3"/>
  <c r="G74" i="4" s="1"/>
  <c r="H70" i="3"/>
  <c r="H70" i="4" s="1"/>
  <c r="C66" i="3"/>
  <c r="C66" i="4" s="1"/>
  <c r="G49" i="3"/>
  <c r="G49" i="4" s="1"/>
  <c r="A76" i="4"/>
  <c r="A50" i="4"/>
  <c r="B80" i="4"/>
  <c r="B75" i="4"/>
  <c r="A70" i="4"/>
  <c r="A45" i="4"/>
  <c r="A31" i="4"/>
  <c r="A78" i="4"/>
  <c r="B72" i="4"/>
  <c r="A67" i="4"/>
  <c r="A60" i="4"/>
  <c r="A53" i="4"/>
  <c r="A38" i="4"/>
  <c r="F15" i="3"/>
  <c r="A80" i="4"/>
  <c r="B77" i="4"/>
  <c r="B74" i="4"/>
  <c r="A72" i="4"/>
  <c r="B69" i="4"/>
  <c r="B65" i="4"/>
  <c r="A63" i="4"/>
  <c r="A55" i="4"/>
  <c r="A49" i="4"/>
  <c r="A42" i="4"/>
  <c r="A34" i="4"/>
  <c r="A27" i="4"/>
  <c r="C88" i="3"/>
  <c r="C88" i="4" s="1"/>
  <c r="D82" i="3"/>
  <c r="D82" i="4" s="1"/>
  <c r="C79" i="3"/>
  <c r="C79" i="4" s="1"/>
  <c r="C76" i="3"/>
  <c r="C76" i="4" s="1"/>
  <c r="B73" i="3"/>
  <c r="B70" i="3"/>
  <c r="B67" i="3"/>
  <c r="A63" i="3"/>
  <c r="A82" i="4"/>
  <c r="B79" i="4"/>
  <c r="B76" i="4"/>
  <c r="A74" i="4"/>
  <c r="B71" i="4"/>
  <c r="B68" i="4"/>
  <c r="A65" i="4"/>
  <c r="A62" i="4"/>
  <c r="A54" i="4"/>
  <c r="A47" i="4"/>
  <c r="A39" i="4"/>
  <c r="A33" i="4"/>
  <c r="A26" i="4"/>
  <c r="F1" i="4"/>
  <c r="A1" i="3"/>
  <c r="A1" i="5"/>
  <c r="H64" i="3"/>
  <c r="H64" i="4" s="1"/>
  <c r="A27" i="3"/>
  <c r="A31" i="3"/>
  <c r="A35" i="3"/>
  <c r="A39" i="3"/>
  <c r="A42" i="3"/>
  <c r="A44" i="3"/>
  <c r="A46" i="3"/>
  <c r="A48" i="3"/>
  <c r="A50" i="3"/>
  <c r="A52" i="3"/>
  <c r="A54" i="3"/>
  <c r="A56" i="3"/>
  <c r="A58" i="3"/>
  <c r="G59" i="3"/>
  <c r="G59" i="4" s="1"/>
  <c r="A62" i="3"/>
  <c r="G63" i="3"/>
  <c r="G63" i="4" s="1"/>
  <c r="C65" i="3"/>
  <c r="C65" i="4" s="1"/>
  <c r="H65" i="3"/>
  <c r="H65" i="4" s="1"/>
  <c r="D66" i="3"/>
  <c r="D66" i="4" s="1"/>
  <c r="A67" i="3"/>
  <c r="E67" i="3"/>
  <c r="E67" i="4" s="1"/>
  <c r="B68" i="3"/>
  <c r="G68" i="3"/>
  <c r="G68" i="4" s="1"/>
  <c r="C69" i="3"/>
  <c r="C69" i="4" s="1"/>
  <c r="H69" i="3"/>
  <c r="H69" i="4" s="1"/>
  <c r="D70" i="3"/>
  <c r="D70" i="4" s="1"/>
  <c r="A71" i="3"/>
  <c r="E71" i="3"/>
  <c r="E71" i="4" s="1"/>
  <c r="B72" i="3"/>
  <c r="G72" i="3"/>
  <c r="G72" i="4" s="1"/>
  <c r="C73" i="3"/>
  <c r="C73" i="4" s="1"/>
  <c r="H73" i="3"/>
  <c r="H73" i="4" s="1"/>
  <c r="D74" i="3"/>
  <c r="D74" i="4" s="1"/>
  <c r="A75" i="3"/>
  <c r="E75" i="3"/>
  <c r="E75" i="4" s="1"/>
  <c r="B76" i="3"/>
  <c r="G76" i="3"/>
  <c r="G76" i="4" s="1"/>
  <c r="C77" i="3"/>
  <c r="C77" i="4" s="1"/>
  <c r="H77" i="3"/>
  <c r="H77" i="4" s="1"/>
  <c r="D78" i="3"/>
  <c r="D78" i="4" s="1"/>
  <c r="A79" i="3"/>
  <c r="E79" i="3"/>
  <c r="E79" i="4" s="1"/>
  <c r="B80" i="3"/>
  <c r="G80" i="3"/>
  <c r="G80" i="4" s="1"/>
  <c r="C81" i="3"/>
  <c r="C81" i="4" s="1"/>
  <c r="H81" i="3"/>
  <c r="H81" i="4" s="1"/>
  <c r="E82" i="3"/>
  <c r="E82" i="4" s="1"/>
  <c r="C83" i="3"/>
  <c r="C83" i="4" s="1"/>
  <c r="H83" i="3"/>
  <c r="H83" i="4" s="1"/>
  <c r="C85" i="3"/>
  <c r="C85" i="4" s="1"/>
  <c r="G86" i="3"/>
  <c r="G86" i="4" s="1"/>
  <c r="H87" i="3"/>
  <c r="H87" i="4" s="1"/>
  <c r="C89" i="3"/>
  <c r="C89" i="4" s="1"/>
  <c r="H90" i="3"/>
  <c r="H90" i="4" s="1"/>
  <c r="G93" i="3"/>
  <c r="A28" i="3"/>
  <c r="A32" i="3"/>
  <c r="A36" i="3"/>
  <c r="A40" i="3"/>
  <c r="G42" i="3"/>
  <c r="G42" i="4" s="1"/>
  <c r="G44" i="3"/>
  <c r="G44" i="4" s="1"/>
  <c r="G48" i="3"/>
  <c r="G48" i="4" s="1"/>
  <c r="G50" i="3"/>
  <c r="G50" i="4" s="1"/>
  <c r="G52" i="3"/>
  <c r="G52" i="4" s="1"/>
  <c r="G54" i="3"/>
  <c r="G54" i="4" s="1"/>
  <c r="G56" i="3"/>
  <c r="G56" i="4" s="1"/>
  <c r="C59" i="3"/>
  <c r="C59" i="4" s="1"/>
  <c r="A61" i="3"/>
  <c r="E61" i="3"/>
  <c r="E61" i="4" s="1"/>
  <c r="G62" i="3"/>
  <c r="G62" i="4" s="1"/>
  <c r="A64" i="3"/>
  <c r="H91" i="3"/>
  <c r="H91" i="4" s="1"/>
  <c r="G89" i="3"/>
  <c r="G89" i="4" s="1"/>
  <c r="G87" i="3"/>
  <c r="G87" i="4" s="1"/>
  <c r="H85" i="3"/>
  <c r="H85" i="4" s="1"/>
  <c r="C84" i="3"/>
  <c r="C84" i="4" s="1"/>
  <c r="H82" i="3"/>
  <c r="H82" i="4" s="1"/>
  <c r="C82" i="3"/>
  <c r="C82" i="4" s="1"/>
  <c r="D81" i="3"/>
  <c r="D81" i="4" s="1"/>
  <c r="E80" i="3"/>
  <c r="E80" i="4" s="1"/>
  <c r="H79" i="3"/>
  <c r="H79" i="4" s="1"/>
  <c r="B79" i="3"/>
  <c r="C78" i="3"/>
  <c r="C78" i="4" s="1"/>
  <c r="E77" i="3"/>
  <c r="E77" i="4" s="1"/>
  <c r="H76" i="3"/>
  <c r="H76" i="4" s="1"/>
  <c r="A76" i="3"/>
  <c r="C75" i="3"/>
  <c r="C75" i="4" s="1"/>
  <c r="E74" i="3"/>
  <c r="E74" i="4" s="1"/>
  <c r="G73" i="3"/>
  <c r="G73" i="4" s="1"/>
  <c r="A73" i="3"/>
  <c r="C72" i="3"/>
  <c r="C72" i="4" s="1"/>
  <c r="D71" i="3"/>
  <c r="D71" i="4" s="1"/>
  <c r="G70" i="3"/>
  <c r="G70" i="4" s="1"/>
  <c r="A70" i="3"/>
  <c r="B69" i="3"/>
  <c r="D68" i="3"/>
  <c r="D68" i="4" s="1"/>
  <c r="G67" i="3"/>
  <c r="G67" i="4" s="1"/>
  <c r="H66" i="3"/>
  <c r="H66" i="4" s="1"/>
  <c r="B66" i="3"/>
  <c r="D65" i="3"/>
  <c r="D65" i="4" s="1"/>
  <c r="B64" i="3"/>
  <c r="G61" i="3"/>
  <c r="G61" i="4" s="1"/>
  <c r="A57" i="3"/>
  <c r="A53" i="3"/>
  <c r="A49" i="3"/>
  <c r="A45" i="3"/>
  <c r="A41" i="3"/>
  <c r="A33" i="3"/>
  <c r="G91" i="3"/>
  <c r="G91" i="4" s="1"/>
  <c r="H88" i="3"/>
  <c r="H88" i="4" s="1"/>
  <c r="C87" i="3"/>
  <c r="C87" i="4" s="1"/>
  <c r="G85" i="3"/>
  <c r="G85" i="4" s="1"/>
  <c r="G83" i="3"/>
  <c r="G83" i="4" s="1"/>
  <c r="G82" i="3"/>
  <c r="G82" i="4" s="1"/>
  <c r="A82" i="3"/>
  <c r="B81" i="3"/>
  <c r="D80" i="3"/>
  <c r="D80" i="4" s="1"/>
  <c r="G79" i="3"/>
  <c r="G79" i="4" s="1"/>
  <c r="H78" i="3"/>
  <c r="H78" i="4" s="1"/>
  <c r="B78" i="3"/>
  <c r="D77" i="3"/>
  <c r="D77" i="4" s="1"/>
  <c r="E76" i="3"/>
  <c r="E76" i="4" s="1"/>
  <c r="H75" i="3"/>
  <c r="H75" i="4" s="1"/>
  <c r="B75" i="3"/>
  <c r="C74" i="3"/>
  <c r="C74" i="4" s="1"/>
  <c r="E73" i="3"/>
  <c r="E73" i="4" s="1"/>
  <c r="H72" i="3"/>
  <c r="H72" i="4" s="1"/>
  <c r="A72" i="3"/>
  <c r="C71" i="3"/>
  <c r="C71" i="4" s="1"/>
  <c r="E70" i="3"/>
  <c r="E70" i="4" s="1"/>
  <c r="G69" i="3"/>
  <c r="G69" i="4" s="1"/>
  <c r="A69" i="3"/>
  <c r="C68" i="3"/>
  <c r="C68" i="4" s="1"/>
  <c r="D67" i="3"/>
  <c r="D67" i="4" s="1"/>
  <c r="G66" i="3"/>
  <c r="G66" i="4" s="1"/>
  <c r="A66" i="3"/>
  <c r="B65" i="3"/>
  <c r="A59" i="3"/>
  <c r="G55" i="3"/>
  <c r="G55" i="4" s="1"/>
  <c r="G51" i="3"/>
  <c r="G51" i="4" s="1"/>
  <c r="G47" i="3"/>
  <c r="G47" i="4" s="1"/>
  <c r="G43" i="3"/>
  <c r="G43" i="4" s="1"/>
  <c r="A38" i="3"/>
  <c r="A30" i="3"/>
  <c r="G94" i="3"/>
  <c r="G90" i="3"/>
  <c r="G90" i="4" s="1"/>
  <c r="G88" i="3"/>
  <c r="G88" i="4" s="1"/>
  <c r="H86" i="3"/>
  <c r="H86" i="4" s="1"/>
  <c r="H84" i="3"/>
  <c r="H84" i="4" s="1"/>
  <c r="E83" i="3"/>
  <c r="E83" i="4" s="1"/>
  <c r="F82" i="3"/>
  <c r="F82" i="4" s="1"/>
  <c r="G81" i="3"/>
  <c r="G81" i="4" s="1"/>
  <c r="A81" i="3"/>
  <c r="C80" i="3"/>
  <c r="C80" i="4" s="1"/>
  <c r="D79" i="3"/>
  <c r="D79" i="4" s="1"/>
  <c r="G78" i="3"/>
  <c r="G78" i="4" s="1"/>
  <c r="A78" i="3"/>
  <c r="B77" i="3"/>
  <c r="D76" i="3"/>
  <c r="D76" i="4" s="1"/>
  <c r="G75" i="3"/>
  <c r="G75" i="4" s="1"/>
  <c r="H74" i="3"/>
  <c r="H74" i="4" s="1"/>
  <c r="B74" i="3"/>
  <c r="D73" i="3"/>
  <c r="D73" i="4" s="1"/>
  <c r="E72" i="3"/>
  <c r="E72" i="4" s="1"/>
  <c r="H71" i="3"/>
  <c r="H71" i="4" s="1"/>
  <c r="B71" i="3"/>
  <c r="C70" i="3"/>
  <c r="C70" i="4" s="1"/>
  <c r="E69" i="3"/>
  <c r="E69" i="4" s="1"/>
  <c r="H68" i="3"/>
  <c r="H68" i="4" s="1"/>
  <c r="A68" i="3"/>
  <c r="C67" i="3"/>
  <c r="C67" i="4" s="1"/>
  <c r="E66" i="3"/>
  <c r="E66" i="4" s="1"/>
  <c r="G65" i="3"/>
  <c r="G65" i="4" s="1"/>
  <c r="A65" i="3"/>
  <c r="A60" i="3"/>
  <c r="A55" i="3"/>
  <c r="A51" i="3"/>
  <c r="A47" i="3"/>
  <c r="A43" i="3"/>
  <c r="A37" i="3"/>
  <c r="A29" i="3"/>
  <c r="D20" i="2"/>
  <c r="N5" i="6"/>
  <c r="A81" i="4"/>
  <c r="A79" i="4"/>
  <c r="A77" i="4"/>
  <c r="A75" i="4"/>
  <c r="A73" i="4"/>
  <c r="A71" i="4"/>
  <c r="A69" i="4"/>
  <c r="B66" i="4"/>
  <c r="A64" i="4"/>
  <c r="A59" i="4"/>
  <c r="A57" i="4"/>
  <c r="A51" i="4"/>
  <c r="A46" i="4"/>
  <c r="A41" i="4"/>
  <c r="A35" i="4"/>
  <c r="A30" i="4"/>
  <c r="A25" i="4"/>
  <c r="E47" i="5"/>
  <c r="E51" i="5" s="1"/>
  <c r="E13" i="3"/>
  <c r="E13" i="4" s="1"/>
  <c r="K2" i="6"/>
  <c r="L2" i="6" s="1"/>
  <c r="M2" i="6" s="1"/>
  <c r="E43" i="5"/>
  <c r="N3" i="6"/>
  <c r="H3" i="6"/>
  <c r="AB3" i="6"/>
  <c r="F85" i="3"/>
  <c r="F85" i="4" s="1"/>
  <c r="F84" i="3"/>
  <c r="F84" i="4" s="1"/>
  <c r="F83" i="3"/>
  <c r="F83" i="4" s="1"/>
  <c r="F81" i="3"/>
  <c r="F81" i="4" s="1"/>
  <c r="F80" i="3"/>
  <c r="F80" i="4" s="1"/>
  <c r="F79" i="3"/>
  <c r="F79" i="4" s="1"/>
  <c r="F78" i="3"/>
  <c r="F78" i="4" s="1"/>
  <c r="F77" i="3"/>
  <c r="F77" i="4" s="1"/>
  <c r="F76" i="3"/>
  <c r="F76" i="4" s="1"/>
  <c r="F75" i="3"/>
  <c r="F75" i="4" s="1"/>
  <c r="F74" i="3"/>
  <c r="F74" i="4" s="1"/>
  <c r="F73" i="3"/>
  <c r="F73" i="4" s="1"/>
  <c r="F72" i="3"/>
  <c r="F72" i="4" s="1"/>
  <c r="F71" i="3"/>
  <c r="F71" i="4" s="1"/>
  <c r="F70" i="3"/>
  <c r="F70" i="4" s="1"/>
  <c r="F69" i="3"/>
  <c r="F69" i="4" s="1"/>
  <c r="F68" i="3"/>
  <c r="F68" i="4" s="1"/>
  <c r="F67" i="3"/>
  <c r="F67" i="4" s="1"/>
  <c r="F66" i="3"/>
  <c r="F66" i="4" s="1"/>
  <c r="F65" i="3"/>
  <c r="F65" i="4" s="1"/>
  <c r="X4" i="6"/>
  <c r="X1" i="6"/>
  <c r="A68" i="4"/>
  <c r="A66" i="4"/>
  <c r="B64" i="4"/>
  <c r="A56" i="4"/>
  <c r="A52" i="4"/>
  <c r="A48" i="4"/>
  <c r="A44" i="4"/>
  <c r="A40" i="4"/>
  <c r="A36" i="4"/>
  <c r="A32" i="4"/>
  <c r="A28" i="4"/>
  <c r="P2" i="6"/>
  <c r="E9" i="3"/>
  <c r="E8" i="3" s="1"/>
  <c r="E20" i="3" s="1"/>
  <c r="G24" i="3"/>
  <c r="G24" i="4" s="1"/>
  <c r="A24" i="3"/>
  <c r="G40" i="3"/>
  <c r="G40" i="4" s="1"/>
  <c r="G39" i="3"/>
  <c r="G39" i="4" s="1"/>
  <c r="G38" i="3"/>
  <c r="G38" i="4" s="1"/>
  <c r="G37" i="3"/>
  <c r="G37" i="4" s="1"/>
  <c r="G36" i="3"/>
  <c r="G36" i="4" s="1"/>
  <c r="G35" i="3"/>
  <c r="G35" i="4" s="1"/>
  <c r="G34" i="3"/>
  <c r="G34" i="4" s="1"/>
  <c r="G33" i="3"/>
  <c r="G33" i="4" s="1"/>
  <c r="G32" i="3"/>
  <c r="G32" i="4" s="1"/>
  <c r="G31" i="3"/>
  <c r="G31" i="4" s="1"/>
  <c r="G30" i="3"/>
  <c r="G30" i="4" s="1"/>
  <c r="G29" i="3"/>
  <c r="G29" i="4" s="1"/>
  <c r="G28" i="3"/>
  <c r="G28" i="4" s="1"/>
  <c r="G27" i="3"/>
  <c r="G27" i="4" s="1"/>
  <c r="G26" i="3"/>
  <c r="G26" i="4" s="1"/>
  <c r="G25" i="3"/>
  <c r="G25" i="4" s="1"/>
  <c r="A25" i="3"/>
  <c r="AB6" i="6"/>
  <c r="AB5" i="6"/>
  <c r="X6" i="6"/>
  <c r="X5" i="6"/>
  <c r="AB2" i="6"/>
  <c r="AB4" i="6"/>
  <c r="X3" i="6"/>
  <c r="X2" i="6"/>
  <c r="AB1" i="6"/>
  <c r="G2" i="6"/>
  <c r="F2" i="6" s="1"/>
  <c r="E59" i="3" l="1"/>
  <c r="G46" i="3"/>
  <c r="G46" i="4" s="1"/>
  <c r="N6" i="6"/>
  <c r="B36" i="6" s="1"/>
  <c r="B57" i="3" s="1"/>
  <c r="B2" i="6"/>
  <c r="B23" i="3" s="1"/>
  <c r="G20" i="3"/>
  <c r="D20" i="3" s="1"/>
  <c r="AE1" i="6"/>
  <c r="Y1" i="6"/>
  <c r="B92" i="7" s="1"/>
  <c r="K3" i="6"/>
  <c r="L3" i="6" s="1"/>
  <c r="M3" i="6" s="1"/>
  <c r="E53" i="5"/>
  <c r="I3" i="6"/>
  <c r="J3" i="6" s="1"/>
  <c r="H4" i="6"/>
  <c r="AC1" i="6"/>
  <c r="B91" i="7" s="1"/>
  <c r="E5" i="5"/>
  <c r="E9" i="4"/>
  <c r="F20" i="3"/>
  <c r="R2" i="6"/>
  <c r="E20" i="4"/>
  <c r="E11" i="3"/>
  <c r="U2" i="6"/>
  <c r="E8" i="4"/>
  <c r="E6" i="3"/>
  <c r="E6" i="4" s="1"/>
  <c r="C21" i="3"/>
  <c r="G58" i="3" l="1"/>
  <c r="G58" i="4" s="1"/>
  <c r="E59" i="4"/>
  <c r="Q40" i="6"/>
  <c r="Q41" i="6"/>
  <c r="Q38" i="6"/>
  <c r="Q42" i="6"/>
  <c r="Q39" i="6"/>
  <c r="Q43" i="6"/>
  <c r="G64" i="3"/>
  <c r="G64" i="4" s="1"/>
  <c r="AE2" i="6"/>
  <c r="B57" i="4"/>
  <c r="B23" i="4"/>
  <c r="G20" i="4"/>
  <c r="AF1" i="6"/>
  <c r="E6" i="5"/>
  <c r="E7" i="5" s="1"/>
  <c r="I4" i="6"/>
  <c r="J4" i="6" s="1"/>
  <c r="H5" i="6"/>
  <c r="K4" i="6"/>
  <c r="L4" i="6" s="1"/>
  <c r="M4" i="6" s="1"/>
  <c r="G3" i="6"/>
  <c r="F3" i="6" s="1"/>
  <c r="B3" i="6" s="1"/>
  <c r="F20" i="4"/>
  <c r="C21" i="4"/>
  <c r="H21" i="3"/>
  <c r="E9" i="5"/>
  <c r="E11" i="4"/>
  <c r="D20" i="4"/>
  <c r="Q7" i="6"/>
  <c r="Q11" i="6"/>
  <c r="Q15" i="6"/>
  <c r="Q19" i="6"/>
  <c r="Q23" i="6"/>
  <c r="Q2" i="6"/>
  <c r="S2" i="6" s="1"/>
  <c r="Q3" i="6"/>
  <c r="Q5" i="6"/>
  <c r="Q10" i="6"/>
  <c r="Q14" i="6"/>
  <c r="Q18" i="6"/>
  <c r="Q22" i="6"/>
  <c r="Q9" i="6"/>
  <c r="Q13" i="6"/>
  <c r="Q17" i="6"/>
  <c r="Q21" i="6"/>
  <c r="Q25" i="6"/>
  <c r="Q20" i="6"/>
  <c r="Q29" i="6"/>
  <c r="Q33" i="6"/>
  <c r="Q37" i="6"/>
  <c r="Q4" i="6"/>
  <c r="Q8" i="6"/>
  <c r="Q24" i="6"/>
  <c r="Q28" i="6"/>
  <c r="Q32" i="6"/>
  <c r="Q36" i="6"/>
  <c r="Q6" i="6"/>
  <c r="Q12" i="6"/>
  <c r="Q27" i="6"/>
  <c r="Q31" i="6"/>
  <c r="Q35" i="6"/>
  <c r="Q16" i="6"/>
  <c r="Q26" i="6"/>
  <c r="Q30" i="6"/>
  <c r="Q34" i="6"/>
  <c r="B24" i="4" l="1"/>
  <c r="B24" i="3"/>
  <c r="I5" i="6"/>
  <c r="J5" i="6" s="1"/>
  <c r="H6" i="6"/>
  <c r="K5" i="6"/>
  <c r="L5" i="6" s="1"/>
  <c r="M5" i="6" s="1"/>
  <c r="G4" i="6"/>
  <c r="F4" i="6" s="1"/>
  <c r="B4" i="6" s="1"/>
  <c r="F22" i="3"/>
  <c r="P3" i="6"/>
  <c r="H21" i="4"/>
  <c r="C22" i="3"/>
  <c r="H7" i="6" l="1"/>
  <c r="I6" i="6"/>
  <c r="J6" i="6" s="1"/>
  <c r="K6" i="6"/>
  <c r="L6" i="6" s="1"/>
  <c r="M6" i="6" s="1"/>
  <c r="G5" i="6"/>
  <c r="F5" i="6" s="1"/>
  <c r="B5" i="6" s="1"/>
  <c r="B25" i="4"/>
  <c r="B25" i="3"/>
  <c r="C22" i="4"/>
  <c r="E22" i="3"/>
  <c r="H22" i="3"/>
  <c r="F22" i="4"/>
  <c r="R3" i="6"/>
  <c r="S3" i="6" s="1"/>
  <c r="F23" i="3" s="1"/>
  <c r="F23" i="4" s="1"/>
  <c r="B26" i="3" l="1"/>
  <c r="B26" i="4"/>
  <c r="G6" i="6"/>
  <c r="F6" i="6" s="1"/>
  <c r="B6" i="6" s="1"/>
  <c r="K7" i="6"/>
  <c r="L7" i="6" s="1"/>
  <c r="M7" i="6" s="1"/>
  <c r="H8" i="6"/>
  <c r="I7" i="6"/>
  <c r="J7" i="6" s="1"/>
  <c r="H22" i="4"/>
  <c r="C23" i="3"/>
  <c r="E22" i="4"/>
  <c r="D22" i="3"/>
  <c r="P4" i="6"/>
  <c r="B27" i="3" l="1"/>
  <c r="B27" i="4"/>
  <c r="K8" i="6"/>
  <c r="L8" i="6" s="1"/>
  <c r="M8" i="6" s="1"/>
  <c r="G7" i="6"/>
  <c r="F7" i="6" s="1"/>
  <c r="B7" i="6" s="1"/>
  <c r="H9" i="6"/>
  <c r="I8" i="6"/>
  <c r="J8" i="6" s="1"/>
  <c r="D22" i="4"/>
  <c r="R4" i="6"/>
  <c r="S4" i="6" s="1"/>
  <c r="F24" i="3" s="1"/>
  <c r="C23" i="4"/>
  <c r="H23" i="3"/>
  <c r="E23" i="3"/>
  <c r="B28" i="4" l="1"/>
  <c r="B28" i="3"/>
  <c r="K9" i="6"/>
  <c r="L9" i="6" s="1"/>
  <c r="M9" i="6" s="1"/>
  <c r="G8" i="6"/>
  <c r="F8" i="6" s="1"/>
  <c r="B8" i="6" s="1"/>
  <c r="H10" i="6"/>
  <c r="I9" i="6"/>
  <c r="J9" i="6" s="1"/>
  <c r="E23" i="4"/>
  <c r="D23" i="3"/>
  <c r="H23" i="4"/>
  <c r="C24" i="3"/>
  <c r="P5" i="6"/>
  <c r="F24" i="4"/>
  <c r="B29" i="3" l="1"/>
  <c r="B29" i="4"/>
  <c r="K10" i="6"/>
  <c r="L10" i="6" s="1"/>
  <c r="M10" i="6" s="1"/>
  <c r="G9" i="6"/>
  <c r="F9" i="6" s="1"/>
  <c r="B9" i="6" s="1"/>
  <c r="H11" i="6"/>
  <c r="I10" i="6"/>
  <c r="J10" i="6" s="1"/>
  <c r="R5" i="6"/>
  <c r="S5" i="6" s="1"/>
  <c r="F25" i="3" s="1"/>
  <c r="C24" i="4"/>
  <c r="H24" i="3"/>
  <c r="E24" i="3"/>
  <c r="D23" i="4"/>
  <c r="B30" i="3" l="1"/>
  <c r="B30" i="4"/>
  <c r="K11" i="6"/>
  <c r="L11" i="6" s="1"/>
  <c r="M11" i="6" s="1"/>
  <c r="G10" i="6"/>
  <c r="F10" i="6" s="1"/>
  <c r="B10" i="6" s="1"/>
  <c r="H12" i="6"/>
  <c r="I11" i="6"/>
  <c r="J11" i="6" s="1"/>
  <c r="H24" i="4"/>
  <c r="C25" i="3"/>
  <c r="P6" i="6"/>
  <c r="E24" i="4"/>
  <c r="D24" i="3"/>
  <c r="F25" i="4"/>
  <c r="B31" i="4" l="1"/>
  <c r="B31" i="3"/>
  <c r="K12" i="6"/>
  <c r="L12" i="6" s="1"/>
  <c r="M12" i="6" s="1"/>
  <c r="G11" i="6"/>
  <c r="F11" i="6" s="1"/>
  <c r="B11" i="6" s="1"/>
  <c r="H13" i="6"/>
  <c r="I12" i="6"/>
  <c r="J12" i="6" s="1"/>
  <c r="R6" i="6"/>
  <c r="S6" i="6" s="1"/>
  <c r="F26" i="3" s="1"/>
  <c r="F26" i="4" s="1"/>
  <c r="D24" i="4"/>
  <c r="C25" i="4"/>
  <c r="E25" i="3"/>
  <c r="H25" i="3"/>
  <c r="B32" i="4" l="1"/>
  <c r="B32" i="3"/>
  <c r="K13" i="6"/>
  <c r="L13" i="6" s="1"/>
  <c r="M13" i="6" s="1"/>
  <c r="G12" i="6"/>
  <c r="F12" i="6" s="1"/>
  <c r="B12" i="6" s="1"/>
  <c r="I13" i="6"/>
  <c r="J13" i="6" s="1"/>
  <c r="H14" i="6"/>
  <c r="E25" i="4"/>
  <c r="D25" i="3"/>
  <c r="P7" i="6"/>
  <c r="H25" i="4"/>
  <c r="C26" i="3"/>
  <c r="B33" i="3" l="1"/>
  <c r="B33" i="4"/>
  <c r="H15" i="6"/>
  <c r="I14" i="6"/>
  <c r="J14" i="6" s="1"/>
  <c r="G13" i="6"/>
  <c r="F13" i="6" s="1"/>
  <c r="B13" i="6" s="1"/>
  <c r="K14" i="6"/>
  <c r="L14" i="6" s="1"/>
  <c r="M14" i="6" s="1"/>
  <c r="C26" i="4"/>
  <c r="E26" i="3"/>
  <c r="H26" i="3"/>
  <c r="D25" i="4"/>
  <c r="R7" i="6"/>
  <c r="S7" i="6" s="1"/>
  <c r="F27" i="3" s="1"/>
  <c r="F27" i="4" s="1"/>
  <c r="G14" i="6" l="1"/>
  <c r="F14" i="6" s="1"/>
  <c r="B14" i="6" s="1"/>
  <c r="K15" i="6"/>
  <c r="L15" i="6" s="1"/>
  <c r="M15" i="6" s="1"/>
  <c r="H16" i="6"/>
  <c r="I15" i="6"/>
  <c r="J15" i="6" s="1"/>
  <c r="B34" i="3"/>
  <c r="B34" i="4"/>
  <c r="P8" i="6"/>
  <c r="H26" i="4"/>
  <c r="C27" i="3"/>
  <c r="E26" i="4"/>
  <c r="D26" i="3"/>
  <c r="D26" i="4" s="1"/>
  <c r="K16" i="6" l="1"/>
  <c r="L16" i="6" s="1"/>
  <c r="M16" i="6" s="1"/>
  <c r="G15" i="6"/>
  <c r="F15" i="6" s="1"/>
  <c r="B15" i="6" s="1"/>
  <c r="I16" i="6"/>
  <c r="J16" i="6" s="1"/>
  <c r="H17" i="6"/>
  <c r="B35" i="4"/>
  <c r="B35" i="3"/>
  <c r="C27" i="4"/>
  <c r="E27" i="3"/>
  <c r="H27" i="3"/>
  <c r="R8" i="6"/>
  <c r="S8" i="6" s="1"/>
  <c r="F28" i="3" s="1"/>
  <c r="F28" i="4" s="1"/>
  <c r="H18" i="6" l="1"/>
  <c r="I17" i="6"/>
  <c r="J17" i="6" s="1"/>
  <c r="K17" i="6"/>
  <c r="L17" i="6" s="1"/>
  <c r="M17" i="6" s="1"/>
  <c r="G16" i="6"/>
  <c r="F16" i="6" s="1"/>
  <c r="B16" i="6" s="1"/>
  <c r="B36" i="3"/>
  <c r="B36" i="4"/>
  <c r="P9" i="6"/>
  <c r="R9" i="6" s="1"/>
  <c r="S9" i="6" s="1"/>
  <c r="F29" i="3" s="1"/>
  <c r="F29" i="4" s="1"/>
  <c r="E27" i="4"/>
  <c r="D27" i="3"/>
  <c r="D27" i="4" s="1"/>
  <c r="H27" i="4"/>
  <c r="C28" i="3"/>
  <c r="B37" i="3" l="1"/>
  <c r="B37" i="4"/>
  <c r="K18" i="6"/>
  <c r="L18" i="6" s="1"/>
  <c r="M18" i="6" s="1"/>
  <c r="G17" i="6"/>
  <c r="F17" i="6" s="1"/>
  <c r="B17" i="6" s="1"/>
  <c r="H19" i="6"/>
  <c r="I18" i="6"/>
  <c r="J18" i="6" s="1"/>
  <c r="C28" i="4"/>
  <c r="E28" i="3"/>
  <c r="H28" i="3"/>
  <c r="P10" i="6"/>
  <c r="B38" i="3" l="1"/>
  <c r="B38" i="4"/>
  <c r="K19" i="6"/>
  <c r="L19" i="6" s="1"/>
  <c r="M19" i="6" s="1"/>
  <c r="G18" i="6"/>
  <c r="F18" i="6" s="1"/>
  <c r="B18" i="6" s="1"/>
  <c r="I19" i="6"/>
  <c r="J19" i="6" s="1"/>
  <c r="H20" i="6"/>
  <c r="R10" i="6"/>
  <c r="S10" i="6" s="1"/>
  <c r="F30" i="3" s="1"/>
  <c r="F30" i="4" s="1"/>
  <c r="H28" i="4"/>
  <c r="C29" i="3"/>
  <c r="E28" i="4"/>
  <c r="D28" i="3"/>
  <c r="D28" i="4" s="1"/>
  <c r="B39" i="3" l="1"/>
  <c r="B39" i="4"/>
  <c r="I20" i="6"/>
  <c r="J20" i="6" s="1"/>
  <c r="H21" i="6"/>
  <c r="G19" i="6"/>
  <c r="F19" i="6" s="1"/>
  <c r="B19" i="6" s="1"/>
  <c r="K20" i="6"/>
  <c r="L20" i="6" s="1"/>
  <c r="M20" i="6" s="1"/>
  <c r="P11" i="6"/>
  <c r="R11" i="6" s="1"/>
  <c r="S11" i="6" s="1"/>
  <c r="F31" i="3" s="1"/>
  <c r="F31" i="4" s="1"/>
  <c r="C29" i="4"/>
  <c r="E29" i="3"/>
  <c r="H29" i="3"/>
  <c r="H22" i="6" l="1"/>
  <c r="I21" i="6"/>
  <c r="J21" i="6" s="1"/>
  <c r="K21" i="6"/>
  <c r="L21" i="6" s="1"/>
  <c r="M21" i="6" s="1"/>
  <c r="G20" i="6"/>
  <c r="F20" i="6" s="1"/>
  <c r="B20" i="6" s="1"/>
  <c r="B40" i="3"/>
  <c r="B40" i="4"/>
  <c r="E29" i="4"/>
  <c r="D29" i="3"/>
  <c r="D29" i="4" s="1"/>
  <c r="P12" i="6"/>
  <c r="H29" i="4"/>
  <c r="C30" i="3"/>
  <c r="B41" i="4" l="1"/>
  <c r="B41" i="3"/>
  <c r="K22" i="6"/>
  <c r="L22" i="6" s="1"/>
  <c r="M22" i="6" s="1"/>
  <c r="G21" i="6"/>
  <c r="F21" i="6" s="1"/>
  <c r="B21" i="6" s="1"/>
  <c r="H23" i="6"/>
  <c r="I22" i="6"/>
  <c r="J22" i="6" s="1"/>
  <c r="C30" i="4"/>
  <c r="E30" i="3"/>
  <c r="H30" i="3"/>
  <c r="R12" i="6"/>
  <c r="S12" i="6" s="1"/>
  <c r="F32" i="3" s="1"/>
  <c r="F32" i="4" s="1"/>
  <c r="B42" i="4" l="1"/>
  <c r="B42" i="3"/>
  <c r="K23" i="6"/>
  <c r="L23" i="6" s="1"/>
  <c r="M23" i="6" s="1"/>
  <c r="G22" i="6"/>
  <c r="F22" i="6" s="1"/>
  <c r="B22" i="6" s="1"/>
  <c r="I23" i="6"/>
  <c r="J23" i="6" s="1"/>
  <c r="H24" i="6"/>
  <c r="P13" i="6"/>
  <c r="H30" i="4"/>
  <c r="C31" i="3"/>
  <c r="E30" i="4"/>
  <c r="D30" i="3"/>
  <c r="D30" i="4" s="1"/>
  <c r="B43" i="3" l="1"/>
  <c r="B43" i="4"/>
  <c r="H25" i="6"/>
  <c r="I24" i="6"/>
  <c r="J24" i="6" s="1"/>
  <c r="K24" i="6"/>
  <c r="L24" i="6" s="1"/>
  <c r="M24" i="6" s="1"/>
  <c r="G23" i="6"/>
  <c r="F23" i="6" s="1"/>
  <c r="B23" i="6" s="1"/>
  <c r="C31" i="4"/>
  <c r="E31" i="3"/>
  <c r="H31" i="3"/>
  <c r="R13" i="6"/>
  <c r="S13" i="6" s="1"/>
  <c r="F33" i="3" s="1"/>
  <c r="F33" i="4" s="1"/>
  <c r="K25" i="6" l="1"/>
  <c r="L25" i="6" s="1"/>
  <c r="M25" i="6" s="1"/>
  <c r="G24" i="6"/>
  <c r="F24" i="6" s="1"/>
  <c r="B24" i="6" s="1"/>
  <c r="H26" i="6"/>
  <c r="I25" i="6"/>
  <c r="J25" i="6" s="1"/>
  <c r="B44" i="3"/>
  <c r="B44" i="4"/>
  <c r="P14" i="6"/>
  <c r="R14" i="6" s="1"/>
  <c r="S14" i="6" s="1"/>
  <c r="F34" i="3" s="1"/>
  <c r="F34" i="4" s="1"/>
  <c r="H31" i="4"/>
  <c r="C32" i="3"/>
  <c r="E31" i="4"/>
  <c r="D31" i="3"/>
  <c r="D31" i="4" s="1"/>
  <c r="K26" i="6" l="1"/>
  <c r="L26" i="6" s="1"/>
  <c r="M26" i="6" s="1"/>
  <c r="G25" i="6"/>
  <c r="F25" i="6" s="1"/>
  <c r="B25" i="6" s="1"/>
  <c r="H27" i="6"/>
  <c r="I26" i="6"/>
  <c r="J26" i="6" s="1"/>
  <c r="B45" i="4"/>
  <c r="B45" i="3"/>
  <c r="C32" i="4"/>
  <c r="E32" i="3"/>
  <c r="H32" i="3"/>
  <c r="P15" i="6"/>
  <c r="G26" i="6" l="1"/>
  <c r="F26" i="6" s="1"/>
  <c r="B26" i="6" s="1"/>
  <c r="K27" i="6"/>
  <c r="L27" i="6" s="1"/>
  <c r="M27" i="6" s="1"/>
  <c r="H28" i="6"/>
  <c r="I27" i="6"/>
  <c r="J27" i="6" s="1"/>
  <c r="B46" i="4"/>
  <c r="B46" i="3"/>
  <c r="R15" i="6"/>
  <c r="S15" i="6" s="1"/>
  <c r="F35" i="3" s="1"/>
  <c r="F35" i="4" s="1"/>
  <c r="H32" i="4"/>
  <c r="C33" i="3"/>
  <c r="E32" i="4"/>
  <c r="D32" i="3"/>
  <c r="D32" i="4" s="1"/>
  <c r="G27" i="6" l="1"/>
  <c r="F27" i="6" s="1"/>
  <c r="B27" i="6" s="1"/>
  <c r="K28" i="6"/>
  <c r="L28" i="6" s="1"/>
  <c r="M28" i="6" s="1"/>
  <c r="H29" i="6"/>
  <c r="I28" i="6"/>
  <c r="J28" i="6" s="1"/>
  <c r="B47" i="3"/>
  <c r="B47" i="4"/>
  <c r="C33" i="4"/>
  <c r="E33" i="3"/>
  <c r="H33" i="3"/>
  <c r="P16" i="6"/>
  <c r="K29" i="6" l="1"/>
  <c r="L29" i="6" s="1"/>
  <c r="M29" i="6" s="1"/>
  <c r="G28" i="6"/>
  <c r="F28" i="6" s="1"/>
  <c r="B28" i="6" s="1"/>
  <c r="H30" i="6"/>
  <c r="I29" i="6"/>
  <c r="J29" i="6" s="1"/>
  <c r="B48" i="4"/>
  <c r="B48" i="3"/>
  <c r="H33" i="4"/>
  <c r="C34" i="3"/>
  <c r="R16" i="6"/>
  <c r="S16" i="6" s="1"/>
  <c r="F36" i="3" s="1"/>
  <c r="F36" i="4" s="1"/>
  <c r="E33" i="4"/>
  <c r="D33" i="3"/>
  <c r="D33" i="4" s="1"/>
  <c r="K30" i="6" l="1"/>
  <c r="L30" i="6" s="1"/>
  <c r="M30" i="6" s="1"/>
  <c r="G29" i="6"/>
  <c r="F29" i="6" s="1"/>
  <c r="B29" i="6" s="1"/>
  <c r="I30" i="6"/>
  <c r="J30" i="6" s="1"/>
  <c r="H31" i="6"/>
  <c r="B49" i="3"/>
  <c r="B49" i="4"/>
  <c r="P17" i="6"/>
  <c r="C34" i="4"/>
  <c r="E34" i="3"/>
  <c r="H34" i="3"/>
  <c r="I31" i="6" l="1"/>
  <c r="J31" i="6" s="1"/>
  <c r="H32" i="6"/>
  <c r="G30" i="6"/>
  <c r="F30" i="6" s="1"/>
  <c r="B30" i="6" s="1"/>
  <c r="K31" i="6"/>
  <c r="L31" i="6" s="1"/>
  <c r="M31" i="6" s="1"/>
  <c r="B50" i="3"/>
  <c r="B50" i="4"/>
  <c r="E34" i="4"/>
  <c r="D34" i="3"/>
  <c r="D34" i="4" s="1"/>
  <c r="H34" i="4"/>
  <c r="C35" i="3"/>
  <c r="R17" i="6"/>
  <c r="S17" i="6" s="1"/>
  <c r="F37" i="3" s="1"/>
  <c r="F37" i="4" s="1"/>
  <c r="B51" i="4" l="1"/>
  <c r="B51" i="3"/>
  <c r="I32" i="6"/>
  <c r="J32" i="6" s="1"/>
  <c r="H33" i="6"/>
  <c r="G31" i="6"/>
  <c r="F31" i="6" s="1"/>
  <c r="B31" i="6" s="1"/>
  <c r="K32" i="6"/>
  <c r="L32" i="6" s="1"/>
  <c r="M32" i="6" s="1"/>
  <c r="P18" i="6"/>
  <c r="C35" i="4"/>
  <c r="E35" i="3"/>
  <c r="H35" i="3"/>
  <c r="H34" i="6" l="1"/>
  <c r="I33" i="6"/>
  <c r="J33" i="6" s="1"/>
  <c r="K33" i="6"/>
  <c r="L33" i="6" s="1"/>
  <c r="M33" i="6" s="1"/>
  <c r="G32" i="6"/>
  <c r="F32" i="6" s="1"/>
  <c r="B32" i="6" s="1"/>
  <c r="B52" i="3"/>
  <c r="B52" i="4"/>
  <c r="H35" i="4"/>
  <c r="C36" i="3"/>
  <c r="E35" i="4"/>
  <c r="D35" i="3"/>
  <c r="D35" i="4" s="1"/>
  <c r="R18" i="6"/>
  <c r="S18" i="6" s="1"/>
  <c r="F38" i="3" s="1"/>
  <c r="F38" i="4" s="1"/>
  <c r="B53" i="3" l="1"/>
  <c r="B53" i="4"/>
  <c r="K34" i="6"/>
  <c r="L34" i="6" s="1"/>
  <c r="M34" i="6" s="1"/>
  <c r="G33" i="6"/>
  <c r="F33" i="6" s="1"/>
  <c r="B33" i="6" s="1"/>
  <c r="H35" i="6"/>
  <c r="I34" i="6"/>
  <c r="J34" i="6" s="1"/>
  <c r="P19" i="6"/>
  <c r="C36" i="4"/>
  <c r="E36" i="3"/>
  <c r="H36" i="3"/>
  <c r="B54" i="3" l="1"/>
  <c r="B54" i="4"/>
  <c r="K35" i="6"/>
  <c r="L35" i="6" s="1"/>
  <c r="M35" i="6" s="1"/>
  <c r="G34" i="6"/>
  <c r="F34" i="6" s="1"/>
  <c r="B34" i="6" s="1"/>
  <c r="H36" i="6"/>
  <c r="I35" i="6"/>
  <c r="J35" i="6" s="1"/>
  <c r="H36" i="4"/>
  <c r="C37" i="3"/>
  <c r="E36" i="4"/>
  <c r="D36" i="3"/>
  <c r="D36" i="4" s="1"/>
  <c r="R19" i="6"/>
  <c r="S19" i="6" s="1"/>
  <c r="F39" i="3" s="1"/>
  <c r="F39" i="4" s="1"/>
  <c r="B55" i="3" l="1"/>
  <c r="B55" i="4"/>
  <c r="K36" i="6"/>
  <c r="L36" i="6" s="1"/>
  <c r="M36" i="6" s="1"/>
  <c r="G35" i="6"/>
  <c r="F35" i="6" s="1"/>
  <c r="B35" i="6" s="1"/>
  <c r="H37" i="6"/>
  <c r="I36" i="6"/>
  <c r="J36" i="6" s="1"/>
  <c r="P20" i="6"/>
  <c r="C37" i="4"/>
  <c r="E37" i="3"/>
  <c r="H37" i="3"/>
  <c r="B56" i="4" l="1"/>
  <c r="B56" i="3"/>
  <c r="K37" i="6"/>
  <c r="L37" i="6" s="1"/>
  <c r="M37" i="6" s="1"/>
  <c r="G36" i="6"/>
  <c r="F36" i="6" s="1"/>
  <c r="I37" i="6"/>
  <c r="J37" i="6" s="1"/>
  <c r="H38" i="6"/>
  <c r="R20" i="6"/>
  <c r="S20" i="6" s="1"/>
  <c r="F40" i="3" s="1"/>
  <c r="F40" i="4" s="1"/>
  <c r="H37" i="4"/>
  <c r="C38" i="3"/>
  <c r="E37" i="4"/>
  <c r="D37" i="3"/>
  <c r="D37" i="4" s="1"/>
  <c r="I38" i="6" l="1"/>
  <c r="J38" i="6" s="1"/>
  <c r="H39" i="6"/>
  <c r="G37" i="6"/>
  <c r="F37" i="6" s="1"/>
  <c r="B37" i="6" s="1"/>
  <c r="K38" i="6"/>
  <c r="L38" i="6" s="1"/>
  <c r="M38" i="6" s="1"/>
  <c r="C38" i="4"/>
  <c r="E38" i="3"/>
  <c r="H38" i="3"/>
  <c r="P21" i="6"/>
  <c r="B58" i="4" l="1"/>
  <c r="B58" i="3"/>
  <c r="K39" i="6"/>
  <c r="L39" i="6" s="1"/>
  <c r="M39" i="6" s="1"/>
  <c r="G38" i="6"/>
  <c r="F38" i="6" s="1"/>
  <c r="B38" i="6" s="1"/>
  <c r="I39" i="6"/>
  <c r="J39" i="6" s="1"/>
  <c r="H40" i="6"/>
  <c r="H38" i="4"/>
  <c r="C39" i="3"/>
  <c r="R21" i="6"/>
  <c r="S21" i="6" s="1"/>
  <c r="F41" i="3" s="1"/>
  <c r="F41" i="4" s="1"/>
  <c r="E38" i="4"/>
  <c r="D38" i="3"/>
  <c r="D38" i="4" s="1"/>
  <c r="B59" i="4" l="1"/>
  <c r="B59" i="3"/>
  <c r="I40" i="6"/>
  <c r="J40" i="6" s="1"/>
  <c r="H41" i="6"/>
  <c r="G39" i="6"/>
  <c r="F39" i="6" s="1"/>
  <c r="B39" i="6" s="1"/>
  <c r="K40" i="6"/>
  <c r="L40" i="6" s="1"/>
  <c r="M40" i="6" s="1"/>
  <c r="P22" i="6"/>
  <c r="C39" i="4"/>
  <c r="E39" i="3"/>
  <c r="H39" i="3"/>
  <c r="B60" i="3" l="1"/>
  <c r="B60" i="4"/>
  <c r="H42" i="6"/>
  <c r="I41" i="6"/>
  <c r="J41" i="6" s="1"/>
  <c r="K41" i="6"/>
  <c r="L41" i="6" s="1"/>
  <c r="M41" i="6" s="1"/>
  <c r="G40" i="6"/>
  <c r="F40" i="6" s="1"/>
  <c r="B40" i="6" s="1"/>
  <c r="R22" i="6"/>
  <c r="S22" i="6" s="1"/>
  <c r="F42" i="3" s="1"/>
  <c r="F42" i="4" s="1"/>
  <c r="H39" i="4"/>
  <c r="C40" i="3"/>
  <c r="E39" i="4"/>
  <c r="D39" i="3"/>
  <c r="D39" i="4" s="1"/>
  <c r="B61" i="3" l="1"/>
  <c r="B61" i="4"/>
  <c r="K42" i="6"/>
  <c r="L42" i="6" s="1"/>
  <c r="M42" i="6" s="1"/>
  <c r="G41" i="6"/>
  <c r="F41" i="6" s="1"/>
  <c r="B41" i="6" s="1"/>
  <c r="H43" i="6"/>
  <c r="I42" i="6"/>
  <c r="J42" i="6" s="1"/>
  <c r="P23" i="6"/>
  <c r="R23" i="6" s="1"/>
  <c r="S23" i="6" s="1"/>
  <c r="F43" i="3" s="1"/>
  <c r="F43" i="4" s="1"/>
  <c r="C40" i="4"/>
  <c r="E40" i="3"/>
  <c r="H40" i="3"/>
  <c r="B62" i="4" l="1"/>
  <c r="B62" i="3"/>
  <c r="K43" i="6"/>
  <c r="L43" i="6" s="1"/>
  <c r="M43" i="6" s="1"/>
  <c r="G42" i="6"/>
  <c r="F42" i="6" s="1"/>
  <c r="B42" i="6" s="1"/>
  <c r="H44" i="6"/>
  <c r="I43" i="6"/>
  <c r="J43" i="6" s="1"/>
  <c r="H40" i="4"/>
  <c r="C41" i="3"/>
  <c r="P24" i="6"/>
  <c r="E40" i="4"/>
  <c r="D40" i="3"/>
  <c r="D40" i="4" s="1"/>
  <c r="B63" i="3" l="1"/>
  <c r="B63" i="4"/>
  <c r="K44" i="6"/>
  <c r="L44" i="6" s="1"/>
  <c r="M44" i="6" s="1"/>
  <c r="G43" i="6"/>
  <c r="F43" i="6" s="1"/>
  <c r="B43" i="6" s="1"/>
  <c r="I44" i="6"/>
  <c r="J44" i="6" s="1"/>
  <c r="H45" i="6"/>
  <c r="C41" i="4"/>
  <c r="E41" i="3"/>
  <c r="H41" i="3"/>
  <c r="R24" i="6"/>
  <c r="S24" i="6" s="1"/>
  <c r="F44" i="3" s="1"/>
  <c r="F44" i="4" s="1"/>
  <c r="H46" i="6" l="1"/>
  <c r="I45" i="6"/>
  <c r="J45" i="6" s="1"/>
  <c r="K45" i="6"/>
  <c r="L45" i="6" s="1"/>
  <c r="M45" i="6" s="1"/>
  <c r="G44" i="6"/>
  <c r="F44" i="6" s="1"/>
  <c r="B44" i="6" s="1"/>
  <c r="H41" i="4"/>
  <c r="C42" i="3"/>
  <c r="P25" i="6"/>
  <c r="E41" i="4"/>
  <c r="D41" i="3"/>
  <c r="D41" i="4" s="1"/>
  <c r="G45" i="6" l="1"/>
  <c r="F45" i="6" s="1"/>
  <c r="B45" i="6" s="1"/>
  <c r="K46" i="6"/>
  <c r="L46" i="6" s="1"/>
  <c r="M46" i="6" s="1"/>
  <c r="I46" i="6"/>
  <c r="J46" i="6" s="1"/>
  <c r="H47" i="6"/>
  <c r="C42" i="4"/>
  <c r="E42" i="3"/>
  <c r="H42" i="3"/>
  <c r="R25" i="6"/>
  <c r="S25" i="6" s="1"/>
  <c r="F45" i="3" s="1"/>
  <c r="F45" i="4" s="1"/>
  <c r="I47" i="6" l="1"/>
  <c r="J47" i="6" s="1"/>
  <c r="H48" i="6"/>
  <c r="K47" i="6"/>
  <c r="L47" i="6" s="1"/>
  <c r="M47" i="6" s="1"/>
  <c r="G46" i="6"/>
  <c r="F46" i="6" s="1"/>
  <c r="B46" i="6" s="1"/>
  <c r="P26" i="6"/>
  <c r="R26" i="6" s="1"/>
  <c r="S26" i="6" s="1"/>
  <c r="F46" i="3" s="1"/>
  <c r="F46" i="4" s="1"/>
  <c r="H42" i="4"/>
  <c r="C43" i="3"/>
  <c r="E42" i="4"/>
  <c r="D42" i="3"/>
  <c r="D42" i="4" s="1"/>
  <c r="I48" i="6" l="1"/>
  <c r="J48" i="6" s="1"/>
  <c r="H49" i="6"/>
  <c r="G47" i="6"/>
  <c r="F47" i="6" s="1"/>
  <c r="B47" i="6" s="1"/>
  <c r="K48" i="6"/>
  <c r="L48" i="6" s="1"/>
  <c r="M48" i="6" s="1"/>
  <c r="P27" i="6"/>
  <c r="R27" i="6" s="1"/>
  <c r="S27" i="6" s="1"/>
  <c r="F47" i="3" s="1"/>
  <c r="F47" i="4" s="1"/>
  <c r="C43" i="4"/>
  <c r="E43" i="3"/>
  <c r="H43" i="3"/>
  <c r="H50" i="6" l="1"/>
  <c r="I49" i="6"/>
  <c r="J49" i="6" s="1"/>
  <c r="G48" i="6"/>
  <c r="F48" i="6" s="1"/>
  <c r="B48" i="6" s="1"/>
  <c r="K49" i="6"/>
  <c r="L49" i="6" s="1"/>
  <c r="M49" i="6" s="1"/>
  <c r="P28" i="6"/>
  <c r="R28" i="6" s="1"/>
  <c r="S28" i="6" s="1"/>
  <c r="F48" i="3" s="1"/>
  <c r="F48" i="4" s="1"/>
  <c r="H43" i="4"/>
  <c r="C44" i="3"/>
  <c r="E43" i="4"/>
  <c r="D43" i="3"/>
  <c r="D43" i="4" s="1"/>
  <c r="K50" i="6" l="1"/>
  <c r="L50" i="6" s="1"/>
  <c r="M50" i="6" s="1"/>
  <c r="G49" i="6"/>
  <c r="F49" i="6" s="1"/>
  <c r="B49" i="6" s="1"/>
  <c r="H51" i="6"/>
  <c r="I50" i="6"/>
  <c r="J50" i="6" s="1"/>
  <c r="P29" i="6"/>
  <c r="C44" i="4"/>
  <c r="E44" i="3"/>
  <c r="H44" i="3"/>
  <c r="K51" i="6" l="1"/>
  <c r="L51" i="6" s="1"/>
  <c r="M51" i="6" s="1"/>
  <c r="G50" i="6"/>
  <c r="F50" i="6" s="1"/>
  <c r="B50" i="6" s="1"/>
  <c r="H52" i="6"/>
  <c r="I51" i="6"/>
  <c r="J51" i="6" s="1"/>
  <c r="H44" i="4"/>
  <c r="C45" i="3"/>
  <c r="E44" i="4"/>
  <c r="D44" i="3"/>
  <c r="D44" i="4" s="1"/>
  <c r="R29" i="6"/>
  <c r="S29" i="6" s="1"/>
  <c r="F49" i="3" s="1"/>
  <c r="F49" i="4" s="1"/>
  <c r="K52" i="6" l="1"/>
  <c r="L52" i="6" s="1"/>
  <c r="M52" i="6" s="1"/>
  <c r="G51" i="6"/>
  <c r="F51" i="6" s="1"/>
  <c r="B51" i="6" s="1"/>
  <c r="I52" i="6"/>
  <c r="J52" i="6" s="1"/>
  <c r="H53" i="6"/>
  <c r="P30" i="6"/>
  <c r="R30" i="6" s="1"/>
  <c r="S30" i="6" s="1"/>
  <c r="F50" i="3" s="1"/>
  <c r="F50" i="4" s="1"/>
  <c r="C45" i="4"/>
  <c r="H45" i="3"/>
  <c r="E45" i="3"/>
  <c r="H54" i="6" l="1"/>
  <c r="I53" i="6"/>
  <c r="J53" i="6" s="1"/>
  <c r="K53" i="6"/>
  <c r="L53" i="6" s="1"/>
  <c r="M53" i="6" s="1"/>
  <c r="G52" i="6"/>
  <c r="F52" i="6" s="1"/>
  <c r="B52" i="6" s="1"/>
  <c r="E45" i="4"/>
  <c r="D45" i="3"/>
  <c r="D45" i="4" s="1"/>
  <c r="H45" i="4"/>
  <c r="C46" i="3"/>
  <c r="P31" i="6"/>
  <c r="K54" i="6" l="1"/>
  <c r="L54" i="6" s="1"/>
  <c r="M54" i="6" s="1"/>
  <c r="G53" i="6"/>
  <c r="F53" i="6" s="1"/>
  <c r="B53" i="6" s="1"/>
  <c r="I54" i="6"/>
  <c r="J54" i="6" s="1"/>
  <c r="H55" i="6"/>
  <c r="C46" i="4"/>
  <c r="H46" i="3"/>
  <c r="E46" i="3"/>
  <c r="R31" i="6"/>
  <c r="S31" i="6" s="1"/>
  <c r="F51" i="3" s="1"/>
  <c r="F51" i="4" s="1"/>
  <c r="I55" i="6" l="1"/>
  <c r="J55" i="6" s="1"/>
  <c r="H56" i="6"/>
  <c r="G54" i="6"/>
  <c r="F54" i="6" s="1"/>
  <c r="B54" i="6" s="1"/>
  <c r="K55" i="6"/>
  <c r="L55" i="6" s="1"/>
  <c r="M55" i="6" s="1"/>
  <c r="P32" i="6"/>
  <c r="R32" i="6" s="1"/>
  <c r="S32" i="6" s="1"/>
  <c r="H46" i="4"/>
  <c r="C47" i="3"/>
  <c r="E46" i="4"/>
  <c r="D46" i="3"/>
  <c r="D46" i="4" s="1"/>
  <c r="I56" i="6" l="1"/>
  <c r="J56" i="6" s="1"/>
  <c r="H57" i="6"/>
  <c r="G55" i="6"/>
  <c r="F55" i="6" s="1"/>
  <c r="B55" i="6" s="1"/>
  <c r="K56" i="6"/>
  <c r="L56" i="6" s="1"/>
  <c r="M56" i="6" s="1"/>
  <c r="F52" i="3"/>
  <c r="F52" i="4" s="1"/>
  <c r="P33" i="6"/>
  <c r="R33" i="6" s="1"/>
  <c r="S33" i="6" s="1"/>
  <c r="F53" i="3" s="1"/>
  <c r="F53" i="4" s="1"/>
  <c r="C47" i="4"/>
  <c r="H47" i="3"/>
  <c r="E47" i="3"/>
  <c r="P34" i="6" l="1"/>
  <c r="R34" i="6" s="1"/>
  <c r="S34" i="6" s="1"/>
  <c r="F54" i="3" s="1"/>
  <c r="F54" i="4" s="1"/>
  <c r="H58" i="6"/>
  <c r="I57" i="6"/>
  <c r="J57" i="6" s="1"/>
  <c r="K57" i="6"/>
  <c r="L57" i="6" s="1"/>
  <c r="M57" i="6" s="1"/>
  <c r="G56" i="6"/>
  <c r="F56" i="6" s="1"/>
  <c r="B56" i="6" s="1"/>
  <c r="E47" i="4"/>
  <c r="D47" i="3"/>
  <c r="D47" i="4" s="1"/>
  <c r="H47" i="4"/>
  <c r="C48" i="3"/>
  <c r="K58" i="6" l="1"/>
  <c r="L58" i="6" s="1"/>
  <c r="M58" i="6" s="1"/>
  <c r="G57" i="6"/>
  <c r="F57" i="6" s="1"/>
  <c r="B57" i="6" s="1"/>
  <c r="H59" i="6"/>
  <c r="I58" i="6"/>
  <c r="J58" i="6" s="1"/>
  <c r="P35" i="6"/>
  <c r="R35" i="6" s="1"/>
  <c r="S35" i="6" s="1"/>
  <c r="F55" i="3" s="1"/>
  <c r="F55" i="4" s="1"/>
  <c r="C48" i="4"/>
  <c r="H48" i="3"/>
  <c r="C61" i="4" s="1"/>
  <c r="E48" i="3"/>
  <c r="G58" i="6" l="1"/>
  <c r="F58" i="6" s="1"/>
  <c r="B58" i="6" s="1"/>
  <c r="K59" i="6"/>
  <c r="L59" i="6" s="1"/>
  <c r="M59" i="6" s="1"/>
  <c r="I59" i="6"/>
  <c r="J59" i="6" s="1"/>
  <c r="H60" i="6"/>
  <c r="I60" i="6" s="1"/>
  <c r="J60" i="6" s="1"/>
  <c r="G60" i="6" s="1"/>
  <c r="F60" i="6" s="1"/>
  <c r="H48" i="4"/>
  <c r="C49" i="3"/>
  <c r="E48" i="4"/>
  <c r="D48" i="3"/>
  <c r="D48" i="4" s="1"/>
  <c r="P36" i="6"/>
  <c r="K60" i="6" l="1"/>
  <c r="L60" i="6" s="1"/>
  <c r="M60" i="6" s="1"/>
  <c r="B60" i="6" s="1"/>
  <c r="G59" i="6"/>
  <c r="F59" i="6" s="1"/>
  <c r="B59" i="6" s="1"/>
  <c r="R36" i="6"/>
  <c r="S36" i="6" s="1"/>
  <c r="F56" i="3" s="1"/>
  <c r="F56" i="4" s="1"/>
  <c r="C49" i="4"/>
  <c r="H49" i="3"/>
  <c r="E49" i="3"/>
  <c r="H49" i="4" l="1"/>
  <c r="C50" i="3"/>
  <c r="E49" i="4"/>
  <c r="D49" i="3"/>
  <c r="D49" i="4" s="1"/>
  <c r="P37" i="6"/>
  <c r="R37" i="6" l="1"/>
  <c r="S37" i="6" s="1"/>
  <c r="F57" i="3" s="1"/>
  <c r="C50" i="4"/>
  <c r="H50" i="3"/>
  <c r="E50" i="3"/>
  <c r="H50" i="4" l="1"/>
  <c r="C51" i="3"/>
  <c r="E50" i="4"/>
  <c r="D50" i="3"/>
  <c r="D50" i="4" s="1"/>
  <c r="P38" i="6"/>
  <c r="F57" i="4"/>
  <c r="R38" i="6" l="1"/>
  <c r="S38" i="6" s="1"/>
  <c r="F58" i="3" s="1"/>
  <c r="F58" i="4" s="1"/>
  <c r="P39" i="6"/>
  <c r="C51" i="4"/>
  <c r="H51" i="3"/>
  <c r="E51" i="3"/>
  <c r="R39" i="6" l="1"/>
  <c r="S39" i="6" s="1"/>
  <c r="F59" i="3" s="1"/>
  <c r="P40" i="6"/>
  <c r="E51" i="4"/>
  <c r="D51" i="3"/>
  <c r="D51" i="4" s="1"/>
  <c r="H51" i="4"/>
  <c r="C52" i="3"/>
  <c r="R40" i="6" l="1"/>
  <c r="S40" i="6" s="1"/>
  <c r="F60" i="3" s="1"/>
  <c r="F60" i="4" s="1"/>
  <c r="P41" i="6"/>
  <c r="F59" i="4"/>
  <c r="H59" i="3"/>
  <c r="D59" i="3"/>
  <c r="D59" i="4" s="1"/>
  <c r="C52" i="4"/>
  <c r="H52" i="3"/>
  <c r="E52" i="3"/>
  <c r="H59" i="4" l="1"/>
  <c r="C60" i="3"/>
  <c r="R41" i="6"/>
  <c r="S41" i="6" s="1"/>
  <c r="F61" i="3" s="1"/>
  <c r="P42" i="6"/>
  <c r="E52" i="4"/>
  <c r="D52" i="3"/>
  <c r="D52" i="4" s="1"/>
  <c r="H52" i="4"/>
  <c r="C53" i="3"/>
  <c r="R42" i="6" l="1"/>
  <c r="S42" i="6" s="1"/>
  <c r="F62" i="3" s="1"/>
  <c r="F62" i="4" s="1"/>
  <c r="P43" i="6"/>
  <c r="F61" i="4"/>
  <c r="H61" i="3"/>
  <c r="D61" i="3"/>
  <c r="D61" i="4" s="1"/>
  <c r="C60" i="4"/>
  <c r="H60" i="3"/>
  <c r="H60" i="4" s="1"/>
  <c r="E60" i="3"/>
  <c r="C53" i="4"/>
  <c r="H53" i="3"/>
  <c r="E53" i="3"/>
  <c r="H61" i="4" l="1"/>
  <c r="C62" i="3"/>
  <c r="E60" i="4"/>
  <c r="D60" i="3"/>
  <c r="D60" i="4" s="1"/>
  <c r="R43" i="6"/>
  <c r="S43" i="6" s="1"/>
  <c r="F63" i="3" s="1"/>
  <c r="P44" i="6"/>
  <c r="R44" i="6" s="1"/>
  <c r="E53" i="4"/>
  <c r="D53" i="3"/>
  <c r="D53" i="4" s="1"/>
  <c r="H53" i="4"/>
  <c r="C54" i="3"/>
  <c r="C62" i="4" l="1"/>
  <c r="H62" i="3"/>
  <c r="E62" i="3"/>
  <c r="F63" i="4"/>
  <c r="F64" i="3"/>
  <c r="F64" i="4" s="1"/>
  <c r="C54" i="4"/>
  <c r="H54" i="3"/>
  <c r="E54" i="3"/>
  <c r="H62" i="4" l="1"/>
  <c r="C63" i="3"/>
  <c r="E62" i="4"/>
  <c r="D62" i="3"/>
  <c r="D62" i="4" s="1"/>
  <c r="E54" i="4"/>
  <c r="D54" i="3"/>
  <c r="D54" i="4" s="1"/>
  <c r="H54" i="4"/>
  <c r="C55" i="3"/>
  <c r="C63" i="4" l="1"/>
  <c r="E63" i="3"/>
  <c r="H63" i="3"/>
  <c r="H63" i="4" s="1"/>
  <c r="C55" i="4"/>
  <c r="H55" i="3"/>
  <c r="E55" i="3"/>
  <c r="E63" i="4" l="1"/>
  <c r="D63" i="3"/>
  <c r="D55" i="3"/>
  <c r="D55" i="4" s="1"/>
  <c r="E55" i="4"/>
  <c r="H55" i="4"/>
  <c r="C56" i="3"/>
  <c r="D63" i="4" l="1"/>
  <c r="C56" i="4"/>
  <c r="H56" i="3"/>
  <c r="E56" i="3"/>
  <c r="D56" i="3" l="1"/>
  <c r="E56" i="4"/>
  <c r="H56" i="4"/>
  <c r="C57" i="3"/>
  <c r="D56" i="4" l="1"/>
  <c r="C57" i="4"/>
  <c r="H57" i="3"/>
  <c r="E57" i="3"/>
  <c r="H57" i="4" l="1"/>
  <c r="C58" i="3"/>
  <c r="C58" i="4" s="1"/>
  <c r="D57" i="3"/>
  <c r="E57" i="4"/>
  <c r="E58" i="3"/>
  <c r="E64" i="3" s="1"/>
  <c r="E64" i="4" s="1"/>
  <c r="E58" i="4" l="1"/>
  <c r="E10" i="3"/>
  <c r="D57" i="4"/>
  <c r="D58" i="3"/>
  <c r="D64" i="3" s="1"/>
  <c r="D64" i="4" s="1"/>
  <c r="E10" i="5" l="1"/>
  <c r="E14" i="5" s="1"/>
  <c r="E58" i="5" s="1"/>
  <c r="D58" i="4"/>
  <c r="E10" i="4"/>
  <c r="E4" i="4" s="1"/>
  <c r="E16" i="3"/>
  <c r="E16" i="4" s="1"/>
  <c r="E4" i="3"/>
  <c r="H20" i="3" s="1"/>
  <c r="H20" i="4" s="1"/>
</calcChain>
</file>

<file path=xl/comments1.xml><?xml version="1.0" encoding="utf-8"?>
<comments xmlns="http://schemas.openxmlformats.org/spreadsheetml/2006/main">
  <authors>
    <author>Azer Mammadov</author>
  </authors>
  <commentList>
    <comment ref="E20" authorId="0" guid="{2D6BC683-D7BD-4E5D-81FB-4B39C014B206}" shapeId="0">
      <text>
        <r>
          <rPr>
            <b/>
            <sz val="9"/>
            <color indexed="81"/>
            <rFont val="Tahoma"/>
            <charset val="1"/>
          </rPr>
          <t xml:space="preserve">TH: Əsas məbləğ
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Azer Mammadov</author>
  </authors>
  <commentList>
    <comment ref="AF1" authorId="0" guid="{132A2A01-4E65-44AF-8C0E-5AFD5B6A6B5B}" shapeId="0">
      <text>
        <r>
          <rPr>
            <b/>
            <sz val="9"/>
            <color indexed="81"/>
            <rFont val="Tahoma"/>
            <charset val="1"/>
          </rPr>
          <t>TH: платежи по банковским расходам и др. * количество месяцев с рассрочкой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Teymur Heybatov</author>
  </authors>
  <commentList>
    <comment ref="B92" authorId="0" guid="{1C64E802-6561-4248-8222-428CCB0F7717}" shapeId="0">
      <text>
        <r>
          <rPr>
            <b/>
            <sz val="9"/>
            <color indexed="81"/>
            <rFont val="Tahoma"/>
            <charset val="1"/>
          </rPr>
          <t>Teymur Heybatov:</t>
        </r>
        <r>
          <rPr>
            <sz val="9"/>
            <color indexed="81"/>
            <rFont val="Tahoma"/>
            <charset val="1"/>
          </rPr>
          <t xml:space="preserve">
в dates формула на 60 месяцев
</t>
        </r>
      </text>
    </comment>
  </commentList>
</comments>
</file>

<file path=xl/sharedStrings.xml><?xml version="1.0" encoding="utf-8"?>
<sst xmlns="http://schemas.openxmlformats.org/spreadsheetml/2006/main" count="315" uniqueCount="273">
  <si>
    <t>Select language</t>
  </si>
  <si>
    <t xml:space="preserve">English </t>
  </si>
  <si>
    <t>Azəri</t>
  </si>
  <si>
    <t>Русский</t>
  </si>
  <si>
    <t>Язык</t>
  </si>
  <si>
    <t>1=Аз;2=Ру;3=Англ</t>
  </si>
  <si>
    <t>Номер договора</t>
  </si>
  <si>
    <t>Дата договора</t>
  </si>
  <si>
    <t>Фамилия Директора</t>
  </si>
  <si>
    <t>Имя</t>
  </si>
  <si>
    <t>Отчество</t>
  </si>
  <si>
    <t>Процентная ставка</t>
  </si>
  <si>
    <t>Срок</t>
  </si>
  <si>
    <t>Дополнительные проценты</t>
  </si>
  <si>
    <t>Аванс</t>
  </si>
  <si>
    <t>Комиссия</t>
  </si>
  <si>
    <t>Количество месяцев с рассрочкой</t>
  </si>
  <si>
    <t>Сумма рассрочки</t>
  </si>
  <si>
    <t>Первое погошение</t>
  </si>
  <si>
    <t>Avans</t>
  </si>
  <si>
    <t>Lizinq müqaviləsi üzrə xərclər</t>
  </si>
  <si>
    <t>Расходы по договору лизинга</t>
  </si>
  <si>
    <t>Стоимость оборудования</t>
  </si>
  <si>
    <t>Таможенные расходы</t>
  </si>
  <si>
    <t>Транспортные рассходы</t>
  </si>
  <si>
    <t>Страховка в пути</t>
  </si>
  <si>
    <t>Рассходы на банковские переводы</t>
  </si>
  <si>
    <t>Валютные конвертации</t>
  </si>
  <si>
    <t>Нотариальные расходы</t>
  </si>
  <si>
    <t>Налоги</t>
  </si>
  <si>
    <t>Страховка оборудования</t>
  </si>
  <si>
    <t>Регистрационные расходы</t>
  </si>
  <si>
    <t>Расходы по кредиту</t>
  </si>
  <si>
    <t>Расходы на сервисное обслуживание</t>
  </si>
  <si>
    <t>Расходы на мониторинг</t>
  </si>
  <si>
    <t>Другие рассходы</t>
  </si>
  <si>
    <t>Лизингополучатель</t>
  </si>
  <si>
    <t>Предприниматель</t>
  </si>
  <si>
    <t>Юридическое лицо</t>
  </si>
  <si>
    <t>Фамилия</t>
  </si>
  <si>
    <t>Наименование компании</t>
  </si>
  <si>
    <t>Отчество Директора</t>
  </si>
  <si>
    <t>Имя Директора</t>
  </si>
  <si>
    <t>Müqaviləsinin nömrəsi</t>
  </si>
  <si>
    <t>Müqaviləsinin tarixi</t>
  </si>
  <si>
    <t>Müddət</t>
  </si>
  <si>
    <t>Faiz dərəcəsi</t>
  </si>
  <si>
    <t>Əlavə faizlər</t>
  </si>
  <si>
    <t>Güzəştlı ayların sayı</t>
  </si>
  <si>
    <t>Güzəşt üzrə məbləğ</t>
  </si>
  <si>
    <t>Birinci ödəmə</t>
  </si>
  <si>
    <t>Axırıncı ödəmə</t>
  </si>
  <si>
    <t>Lizinq alan</t>
  </si>
  <si>
    <t>Sahibkar</t>
  </si>
  <si>
    <t>Hüquqi şəxs</t>
  </si>
  <si>
    <t>Adı</t>
  </si>
  <si>
    <t>Atasının adı</t>
  </si>
  <si>
    <t>VÖEN</t>
  </si>
  <si>
    <t>ИНН</t>
  </si>
  <si>
    <t>Şirkətin adı</t>
  </si>
  <si>
    <t>Direktorun adı</t>
  </si>
  <si>
    <t>Direktorun soyadı</t>
  </si>
  <si>
    <t>Direktorun atasının adı</t>
  </si>
  <si>
    <t>Entrepreneur</t>
  </si>
  <si>
    <t>Juridical person</t>
  </si>
  <si>
    <t>Name</t>
  </si>
  <si>
    <t>Patronymic</t>
  </si>
  <si>
    <t>Director's name</t>
  </si>
  <si>
    <t>Company's name</t>
  </si>
  <si>
    <t>Surname</t>
  </si>
  <si>
    <t>Director's surname</t>
  </si>
  <si>
    <t>Director's patronymic</t>
  </si>
  <si>
    <t>Valyuta</t>
  </si>
  <si>
    <t>Валюта</t>
  </si>
  <si>
    <t>Сurrency</t>
  </si>
  <si>
    <t>ABŞ dolları</t>
  </si>
  <si>
    <t>AZN</t>
  </si>
  <si>
    <t>US dollar</t>
  </si>
  <si>
    <t>EURO</t>
  </si>
  <si>
    <t>AVRO</t>
  </si>
  <si>
    <t>EBPO</t>
  </si>
  <si>
    <t>Доллары США</t>
  </si>
  <si>
    <t>Lizinq ödənişlərinin ümumi məbləği</t>
  </si>
  <si>
    <t>o cümlədən:</t>
  </si>
  <si>
    <t>Əsas məbləğ</t>
  </si>
  <si>
    <t>Mükafat</t>
  </si>
  <si>
    <t>Birdəfəlik mükafat</t>
  </si>
  <si>
    <t>Sığorta</t>
  </si>
  <si>
    <t>Bank xərcləri</t>
  </si>
  <si>
    <t>Lizinq müddəti</t>
  </si>
  <si>
    <t>Ay</t>
  </si>
  <si>
    <t>Month</t>
  </si>
  <si>
    <t>Месяцев</t>
  </si>
  <si>
    <t>Общая сумма лизинговых выплат</t>
  </si>
  <si>
    <t>в том числе:</t>
  </si>
  <si>
    <t>Основная сумма</t>
  </si>
  <si>
    <t>Премия</t>
  </si>
  <si>
    <t>Единовременная премия</t>
  </si>
  <si>
    <t>Банковские расходы</t>
  </si>
  <si>
    <t>Срок лизинга</t>
  </si>
  <si>
    <t>Срок рассрочки</t>
  </si>
  <si>
    <t>Qüzəşt ayları</t>
  </si>
  <si>
    <t>Down payment</t>
  </si>
  <si>
    <t>Interest</t>
  </si>
  <si>
    <t>Commission</t>
  </si>
  <si>
    <t>Insurance</t>
  </si>
  <si>
    <t>Bank charges</t>
  </si>
  <si>
    <t>Term</t>
  </si>
  <si>
    <t>Grace peroiod</t>
  </si>
  <si>
    <t>Principal payments</t>
  </si>
  <si>
    <t>including:</t>
  </si>
  <si>
    <t>Ödəmə qrafiki : əsas məbləğ və mükafat daxil edilməklə</t>
  </si>
  <si>
    <t>Repayment schedule : Including principal and interest payments</t>
  </si>
  <si>
    <t>Tarix</t>
  </si>
  <si>
    <t>Ayın əvvəlinə saldo</t>
  </si>
  <si>
    <t>Ödəniş</t>
  </si>
  <si>
    <t>Ssuda üzrə qalıq</t>
  </si>
  <si>
    <t>Cəmi</t>
  </si>
  <si>
    <t>Lizinq verən</t>
  </si>
  <si>
    <t>-</t>
  </si>
  <si>
    <t>Лизингодатель</t>
  </si>
  <si>
    <t>M.Y.</t>
  </si>
  <si>
    <t>for Language</t>
  </si>
  <si>
    <t>М.П.</t>
  </si>
  <si>
    <t>formula</t>
  </si>
  <si>
    <t>Digər</t>
  </si>
  <si>
    <t>Остаточная стоимость оборудования</t>
  </si>
  <si>
    <t>Другое</t>
  </si>
  <si>
    <t>Date</t>
  </si>
  <si>
    <t>Дата</t>
  </si>
  <si>
    <t>Other</t>
  </si>
  <si>
    <t>Итого</t>
  </si>
  <si>
    <t>Total</t>
  </si>
  <si>
    <t>Сальдо на начало периода</t>
  </si>
  <si>
    <t>Платеж</t>
  </si>
  <si>
    <t>Payment</t>
  </si>
  <si>
    <t>Principal</t>
  </si>
  <si>
    <t xml:space="preserve">Profit of AGLeasing </t>
  </si>
  <si>
    <t>Lease payments</t>
  </si>
  <si>
    <t>Лизинговые платежи</t>
  </si>
  <si>
    <t xml:space="preserve">    </t>
  </si>
  <si>
    <t>Date of contract</t>
  </si>
  <si>
    <t>Interest rate</t>
  </si>
  <si>
    <t>Additional interest</t>
  </si>
  <si>
    <t>Grace Period</t>
  </si>
  <si>
    <t>Date of first payment</t>
  </si>
  <si>
    <t>Date of last payment</t>
  </si>
  <si>
    <t>Prepayment</t>
  </si>
  <si>
    <t>Comission</t>
  </si>
  <si>
    <t>Expenses</t>
  </si>
  <si>
    <t>Тип графика</t>
  </si>
  <si>
    <t>Aннуитет</t>
  </si>
  <si>
    <t>Равномерно-уменьшающийся</t>
  </si>
  <si>
    <t>Qrafikin tipi</t>
  </si>
  <si>
    <t>Avadanlığın qiyməti</t>
  </si>
  <si>
    <t>Gömrük xərcləri</t>
  </si>
  <si>
    <t>ƏDV</t>
  </si>
  <si>
    <t>Gömrük proseduru</t>
  </si>
  <si>
    <t>Gömrük rüsumu</t>
  </si>
  <si>
    <t>Nəqliyyat xərcləri</t>
  </si>
  <si>
    <t>Yol Sığorta xərcləri</t>
  </si>
  <si>
    <t>Avadanlığın quraştırılması</t>
  </si>
  <si>
    <t>Bank köçürməsi xərcləri</t>
  </si>
  <si>
    <t>Valyuta mübadiləsi</t>
  </si>
  <si>
    <t>Akreditiv xərcləri</t>
  </si>
  <si>
    <t>Notariat xərcləri</t>
  </si>
  <si>
    <t xml:space="preserve">Vergilər  </t>
  </si>
  <si>
    <t>Mənbədən vergi</t>
  </si>
  <si>
    <t>Sair</t>
  </si>
  <si>
    <t>Sığorta xərcləri</t>
  </si>
  <si>
    <t>Qeydiyyat xərcləri</t>
  </si>
  <si>
    <t>Kredit xərcləri</t>
  </si>
  <si>
    <t>Servis haqqı</t>
  </si>
  <si>
    <t>Diqər xərclər</t>
  </si>
  <si>
    <t>Monitorinq xərcləri</t>
  </si>
  <si>
    <t>Lessor</t>
  </si>
  <si>
    <t>Lessee</t>
  </si>
  <si>
    <t>S.P.</t>
  </si>
  <si>
    <t>Reducing balance</t>
  </si>
  <si>
    <t>Annuity</t>
  </si>
  <si>
    <t>Anuitet</t>
  </si>
  <si>
    <t>Type of schedule</t>
  </si>
  <si>
    <t>Depreciated cost of equipment</t>
  </si>
  <si>
    <t>Starting balance</t>
  </si>
  <si>
    <t>Ending balance</t>
  </si>
  <si>
    <t>Total sum of lease payments</t>
  </si>
  <si>
    <t>Price of equipment</t>
  </si>
  <si>
    <t>Customs</t>
  </si>
  <si>
    <t>Custom procedure expenses</t>
  </si>
  <si>
    <t>Cost of transport</t>
  </si>
  <si>
    <t>Cargo insurance</t>
  </si>
  <si>
    <t>Монтаж</t>
  </si>
  <si>
    <t>Assembling</t>
  </si>
  <si>
    <t>VAT</t>
  </si>
  <si>
    <t>Custom expenses</t>
  </si>
  <si>
    <t>Bank transfer</t>
  </si>
  <si>
    <t>Exchange expenses</t>
  </si>
  <si>
    <t>L\C expenses</t>
  </si>
  <si>
    <t>Notarial expenses</t>
  </si>
  <si>
    <t>Taxes</t>
  </si>
  <si>
    <t>Registration</t>
  </si>
  <si>
    <t>Loan expenses</t>
  </si>
  <si>
    <t>After-sales service</t>
  </si>
  <si>
    <t>Monitoring</t>
  </si>
  <si>
    <t>Other expenses</t>
  </si>
  <si>
    <t>Number of contract</t>
  </si>
  <si>
    <t>Sum of down payment</t>
  </si>
  <si>
    <t>This cells is not protected</t>
  </si>
  <si>
    <t>Do not try to change any formula in cells</t>
  </si>
  <si>
    <t>FOR INTERNAL USE ONLY</t>
  </si>
  <si>
    <t>Schedule for Contracts</t>
  </si>
  <si>
    <t>Месяц</t>
  </si>
  <si>
    <t>Месяца</t>
  </si>
  <si>
    <t>Последнее погошение</t>
  </si>
  <si>
    <t>Расходы на открытие аккредитива</t>
  </si>
  <si>
    <t>Soyadı</t>
  </si>
  <si>
    <t>Страхование</t>
  </si>
  <si>
    <t>График платежей : включая выплаты по основному долгу и премию</t>
  </si>
  <si>
    <t>Avadanlıq qalığının satışı</t>
  </si>
  <si>
    <t>Sığorta/Bank xərcləri</t>
  </si>
  <si>
    <t>Страхование/Банковские расходы</t>
  </si>
  <si>
    <t>Insurance/Bank expenses</t>
  </si>
  <si>
    <t>Lizinq ödənişləri</t>
  </si>
  <si>
    <t>%</t>
  </si>
  <si>
    <t>İllik bahalanma</t>
  </si>
  <si>
    <t>İllik faiz dərəcəsi</t>
  </si>
  <si>
    <t>Годовое удорожание</t>
  </si>
  <si>
    <t>Годовой процент</t>
  </si>
  <si>
    <t>Rise in price</t>
  </si>
  <si>
    <t>=</t>
  </si>
  <si>
    <t>Deklаrasiya</t>
  </si>
  <si>
    <t>Декларация</t>
  </si>
  <si>
    <t>Declaration</t>
  </si>
  <si>
    <t>Müştərinin hesabına</t>
  </si>
  <si>
    <t>Due to client</t>
  </si>
  <si>
    <t>Due to AGLeasing</t>
  </si>
  <si>
    <t>За счет клента</t>
  </si>
  <si>
    <t>За счет AGLeasing</t>
  </si>
  <si>
    <t xml:space="preserve">Expenses of AGLeasing </t>
  </si>
  <si>
    <t>Lizinq müqaviləsi üzrə müştərinin xərcləri</t>
  </si>
  <si>
    <t>Расходы по лизиновой сделки клиента</t>
  </si>
  <si>
    <t>Customer expenses</t>
  </si>
  <si>
    <t>Xərclər cəmi</t>
  </si>
  <si>
    <t>Cумма расходов</t>
  </si>
  <si>
    <t>Total expenses</t>
  </si>
  <si>
    <t>Avans - Əsas məbləğ</t>
  </si>
  <si>
    <t>Avans - Sığorta və Bank xərcləri</t>
  </si>
  <si>
    <t>Аванс - Основной суммы</t>
  </si>
  <si>
    <t>Аванс - Страхования и Банковских рассходов</t>
  </si>
  <si>
    <t>Prepayment - Principal</t>
  </si>
  <si>
    <t>Prepayment - Insurance and Bank expenses</t>
  </si>
  <si>
    <t>Avans - Cəmi</t>
  </si>
  <si>
    <t>Аванс - Сумма</t>
  </si>
  <si>
    <t>Prepayment - Sum</t>
  </si>
  <si>
    <t>Balance</t>
  </si>
  <si>
    <t>TH_v.01.08.06 - 14.12.2006</t>
  </si>
  <si>
    <t xml:space="preserve">        TH - AGLeasing - 14.12.2006 - FOR INTERNAL USE ONLY</t>
  </si>
  <si>
    <t xml:space="preserve">`                       </t>
  </si>
  <si>
    <t xml:space="preserve"> &lt;-&gt; Sigorta + Nağdılaşdırma</t>
  </si>
  <si>
    <t>"AGLizinq" QSC</t>
  </si>
  <si>
    <t>S-042/14</t>
  </si>
  <si>
    <t>02.12.14</t>
  </si>
  <si>
    <t>Sənan</t>
  </si>
  <si>
    <t>Rəsulov</t>
  </si>
  <si>
    <t>Həsən</t>
  </si>
  <si>
    <t>02.01.15</t>
  </si>
  <si>
    <t>02.12.17</t>
  </si>
  <si>
    <t>Lizinq müqaviləsi üzrə AGLizinq şirkətinin xərcləri</t>
  </si>
  <si>
    <t>Расходы по лизиновой сделки AGLizinq</t>
  </si>
  <si>
    <t>Lizinq müqaviləsi üzrə AGLizinq şirkətinin gəliri</t>
  </si>
  <si>
    <t>Доход AGLizinq по лизинговой сделки</t>
  </si>
  <si>
    <t>"AGLizinq"in hesabına</t>
  </si>
  <si>
    <t>R.İ.Musayev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</si>
</sst>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;@"/>
    <numFmt numFmtId="165" formatCode="m/d/yy;@"/>
  </numFmts>
  <fonts count="27">
    <font>
      <sz val="10"/>
      <name val="Arial"/>
      <charset val="204"/>
    </font>
    <font>
      <sz val="10"/>
      <name val="Arial"/>
      <charset val="204"/>
    </font>
    <font>
      <sz val="8"/>
      <name val="Arial"/>
      <charset val="204"/>
    </font>
    <font>
      <sz val="10"/>
      <color indexed="9"/>
      <name val="Arial"/>
      <charset val="204"/>
    </font>
    <font>
      <b/>
      <sz val="10"/>
      <name val="Times New Roman"/>
      <family val="1"/>
    </font>
    <font>
      <b/>
      <sz val="10"/>
      <name val="Arial"/>
      <family val="2"/>
      <charset val="162"/>
    </font>
    <font>
      <b/>
      <sz val="10"/>
      <color indexed="9"/>
      <name val="Times Latin"/>
      <family val="1"/>
      <charset val="204"/>
    </font>
    <font>
      <b/>
      <sz val="10"/>
      <name val="Times Latin"/>
      <family val="1"/>
      <charset val="204"/>
    </font>
    <font>
      <sz val="10"/>
      <name val="Times New Roman"/>
      <family val="1"/>
    </font>
    <font>
      <sz val="10"/>
      <name val="Times Latin"/>
      <family val="1"/>
      <charset val="204"/>
    </font>
    <font>
      <sz val="10"/>
      <color indexed="9"/>
      <name val="Times Latin"/>
      <family val="1"/>
      <charset val="204"/>
    </font>
    <font>
      <b/>
      <sz val="10"/>
      <name val="Times Latin"/>
    </font>
    <font>
      <sz val="10"/>
      <name val="Arial"/>
      <family val="2"/>
      <charset val="204"/>
    </font>
    <font>
      <b/>
      <sz val="10"/>
      <color indexed="10"/>
      <name val="Times Latin"/>
      <family val="1"/>
      <charset val="204"/>
    </font>
    <font>
      <b/>
      <sz val="10"/>
      <color indexed="9"/>
      <name val="Arial"/>
      <family val="2"/>
      <charset val="204"/>
    </font>
    <font>
      <b/>
      <sz val="10"/>
      <name val="Arial"/>
      <family val="2"/>
      <charset val="204"/>
    </font>
    <font>
      <sz val="10"/>
      <name val="Times Latin"/>
      <charset val="204"/>
    </font>
    <font>
      <b/>
      <sz val="10"/>
      <name val="Times New Roman"/>
      <family val="1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 Cyr"/>
      <family val="2"/>
      <charset val="204"/>
    </font>
    <font>
      <sz val="10"/>
      <color rgb="FFFFFF00"/>
      <name val="Arial"/>
      <family val="2"/>
      <charset val="204"/>
    </font>
    <font>
      <sz val="10"/>
      <name val="Times New Roman"/>
      <family val="1"/>
      <charset val="204"/>
    </font>
    <font>
      <b/>
      <sz val="10"/>
      <color indexed="9"/>
      <name val="Times New Roman"/>
      <family val="1"/>
      <charset val="204"/>
    </font>
    <font>
      <b/>
      <sz val="10"/>
      <color indexed="10"/>
      <name val="Times New Roman"/>
      <family val="1"/>
      <charset val="204"/>
    </font>
    <font>
      <sz val="10"/>
      <color indexed="9"/>
      <name val="Times New Roman"/>
      <family val="1"/>
      <charset val="204"/>
    </font>
    <font>
      <sz val="10"/>
      <color indexed="10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3" borderId="0" xfId="0" applyFill="1"/>
    <xf numFmtId="2" fontId="0" fillId="0" borderId="0" xfId="0" applyNumberFormat="1"/>
    <xf numFmtId="0" fontId="0" fillId="4" borderId="0" xfId="0" applyFill="1"/>
    <xf numFmtId="0" fontId="0" fillId="0" borderId="0" xfId="0" applyFill="1"/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0" xfId="0" applyFill="1" applyAlignment="1">
      <alignment horizontal="left"/>
    </xf>
    <xf numFmtId="9" fontId="0" fillId="5" borderId="0" xfId="0" applyNumberFormat="1" applyFill="1"/>
    <xf numFmtId="0" fontId="5" fillId="6" borderId="0" xfId="0" applyFont="1" applyFill="1"/>
    <xf numFmtId="0" fontId="0" fillId="6" borderId="0" xfId="0" applyFill="1"/>
    <xf numFmtId="0" fontId="4" fillId="6" borderId="0" xfId="0" applyFont="1" applyFill="1"/>
    <xf numFmtId="0" fontId="6" fillId="6" borderId="0" xfId="0" applyFont="1" applyFill="1"/>
    <xf numFmtId="0" fontId="7" fillId="6" borderId="0" xfId="0" applyFont="1" applyFill="1"/>
    <xf numFmtId="0" fontId="7" fillId="6" borderId="1" xfId="0" applyFont="1" applyFill="1" applyBorder="1"/>
    <xf numFmtId="0" fontId="7" fillId="6" borderId="2" xfId="0" applyFont="1" applyFill="1" applyBorder="1"/>
    <xf numFmtId="1" fontId="7" fillId="6" borderId="3" xfId="0" applyNumberFormat="1" applyFont="1" applyFill="1" applyBorder="1" applyAlignment="1">
      <alignment horizontal="left"/>
    </xf>
    <xf numFmtId="0" fontId="13" fillId="6" borderId="0" xfId="0" applyFont="1" applyFill="1"/>
    <xf numFmtId="0" fontId="7" fillId="6" borderId="4" xfId="0" applyFont="1" applyFill="1" applyBorder="1"/>
    <xf numFmtId="0" fontId="7" fillId="6" borderId="0" xfId="0" applyFont="1" applyFill="1" applyBorder="1"/>
    <xf numFmtId="1" fontId="7" fillId="6" borderId="5" xfId="0" applyNumberFormat="1" applyFont="1" applyFill="1" applyBorder="1" applyAlignment="1">
      <alignment horizontal="left"/>
    </xf>
    <xf numFmtId="0" fontId="13" fillId="6" borderId="0" xfId="0" applyNumberFormat="1" applyFont="1" applyFill="1"/>
    <xf numFmtId="0" fontId="7" fillId="6" borderId="6" xfId="0" applyFont="1" applyFill="1" applyBorder="1"/>
    <xf numFmtId="0" fontId="4" fillId="6" borderId="7" xfId="0" applyFont="1" applyFill="1" applyBorder="1"/>
    <xf numFmtId="1" fontId="7" fillId="6" borderId="8" xfId="0" applyNumberFormat="1" applyFont="1" applyFill="1" applyBorder="1" applyAlignment="1">
      <alignment horizontal="left"/>
    </xf>
    <xf numFmtId="0" fontId="4" fillId="6" borderId="0" xfId="0" applyFont="1" applyFill="1" applyBorder="1"/>
    <xf numFmtId="0" fontId="7" fillId="6" borderId="0" xfId="0" applyNumberFormat="1" applyFont="1" applyFill="1" applyBorder="1" applyAlignment="1">
      <alignment horizontal="right"/>
    </xf>
    <xf numFmtId="0" fontId="7" fillId="6" borderId="5" xfId="0" applyNumberFormat="1" applyFont="1" applyFill="1" applyBorder="1" applyAlignment="1">
      <alignment horizontal="left"/>
    </xf>
    <xf numFmtId="0" fontId="7" fillId="6" borderId="7" xfId="0" applyNumberFormat="1" applyFont="1" applyFill="1" applyBorder="1" applyAlignment="1">
      <alignment horizontal="right"/>
    </xf>
    <xf numFmtId="0" fontId="7" fillId="6" borderId="8" xfId="0" applyNumberFormat="1" applyFont="1" applyFill="1" applyBorder="1" applyAlignment="1">
      <alignment horizontal="left"/>
    </xf>
    <xf numFmtId="0" fontId="8" fillId="6" borderId="9" xfId="0" applyFont="1" applyFill="1" applyBorder="1" applyAlignment="1">
      <alignment horizontal="center"/>
    </xf>
    <xf numFmtId="0" fontId="10" fillId="6" borderId="10" xfId="0" applyFont="1" applyFill="1" applyBorder="1"/>
    <xf numFmtId="0" fontId="0" fillId="6" borderId="10" xfId="0" applyFill="1" applyBorder="1" applyAlignment="1">
      <alignment horizontal="right"/>
    </xf>
    <xf numFmtId="0" fontId="9" fillId="6" borderId="10" xfId="0" applyFont="1" applyFill="1" applyBorder="1"/>
    <xf numFmtId="49" fontId="0" fillId="6" borderId="10" xfId="0" applyNumberFormat="1" applyFill="1" applyBorder="1" applyAlignment="1">
      <alignment horizontal="right"/>
    </xf>
    <xf numFmtId="0" fontId="0" fillId="6" borderId="10" xfId="0" applyFill="1" applyBorder="1"/>
    <xf numFmtId="0" fontId="0" fillId="6" borderId="0" xfId="0" applyFill="1" applyBorder="1" applyAlignment="1">
      <alignment horizontal="right"/>
    </xf>
    <xf numFmtId="0" fontId="0" fillId="6" borderId="0" xfId="0" applyFill="1" applyBorder="1"/>
    <xf numFmtId="0" fontId="9" fillId="6" borderId="11" xfId="0" applyFont="1" applyFill="1" applyBorder="1" applyProtection="1">
      <protection locked="0"/>
    </xf>
    <xf numFmtId="0" fontId="8" fillId="6" borderId="12" xfId="0" applyFont="1" applyFill="1" applyBorder="1"/>
    <xf numFmtId="164" fontId="0" fillId="6" borderId="11" xfId="0" applyNumberFormat="1" applyFill="1" applyBorder="1" applyAlignment="1">
      <alignment horizontal="right"/>
    </xf>
    <xf numFmtId="9" fontId="0" fillId="3" borderId="0" xfId="0" applyNumberFormat="1" applyFill="1" applyBorder="1"/>
    <xf numFmtId="0" fontId="0" fillId="7" borderId="0" xfId="0" applyFill="1"/>
    <xf numFmtId="0" fontId="0" fillId="7" borderId="0" xfId="0" applyFill="1" applyProtection="1">
      <protection hidden="1"/>
    </xf>
    <xf numFmtId="0" fontId="0" fillId="3" borderId="0" xfId="0" applyFill="1" applyProtection="1">
      <protection hidden="1"/>
    </xf>
    <xf numFmtId="0" fontId="0" fillId="8" borderId="0" xfId="0" applyFill="1" applyProtection="1">
      <protection hidden="1"/>
    </xf>
    <xf numFmtId="0" fontId="0" fillId="9" borderId="0" xfId="0" applyFill="1" applyProtection="1">
      <protection hidden="1"/>
    </xf>
    <xf numFmtId="0" fontId="0" fillId="0" borderId="0" xfId="0" applyProtection="1">
      <protection hidden="1"/>
    </xf>
    <xf numFmtId="0" fontId="0" fillId="7" borderId="12" xfId="0" applyFill="1" applyBorder="1" applyProtection="1">
      <protection hidden="1"/>
    </xf>
    <xf numFmtId="0" fontId="12" fillId="7" borderId="0" xfId="0" applyFont="1" applyFill="1" applyProtection="1">
      <protection hidden="1"/>
    </xf>
    <xf numFmtId="49" fontId="0" fillId="3" borderId="10" xfId="0" applyNumberFormat="1" applyFill="1" applyBorder="1" applyAlignment="1" applyProtection="1">
      <alignment horizontal="right"/>
      <protection locked="0" hidden="1"/>
    </xf>
    <xf numFmtId="0" fontId="0" fillId="3" borderId="10" xfId="0" applyFill="1" applyBorder="1" applyProtection="1">
      <protection locked="0" hidden="1"/>
    </xf>
    <xf numFmtId="9" fontId="0" fillId="3" borderId="10" xfId="0" applyNumberFormat="1" applyFill="1" applyBorder="1" applyProtection="1">
      <protection locked="0" hidden="1"/>
    </xf>
    <xf numFmtId="0" fontId="0" fillId="8" borderId="13" xfId="0" applyFill="1" applyBorder="1" applyProtection="1">
      <protection locked="0" hidden="1"/>
    </xf>
    <xf numFmtId="0" fontId="0" fillId="8" borderId="10" xfId="0" applyFill="1" applyBorder="1" applyProtection="1">
      <protection locked="0" hidden="1"/>
    </xf>
    <xf numFmtId="0" fontId="0" fillId="9" borderId="10" xfId="0" applyFill="1" applyBorder="1" applyProtection="1">
      <protection locked="0" hidden="1"/>
    </xf>
    <xf numFmtId="0" fontId="3" fillId="7" borderId="0" xfId="0" applyFont="1" applyFill="1" applyProtection="1">
      <protection hidden="1"/>
    </xf>
    <xf numFmtId="0" fontId="14" fillId="7" borderId="0" xfId="0" applyFont="1" applyFill="1" applyProtection="1">
      <protection hidden="1"/>
    </xf>
    <xf numFmtId="0" fontId="0" fillId="7" borderId="0" xfId="0" applyFill="1" applyProtection="1">
      <protection locked="0" hidden="1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7" borderId="0" xfId="0" applyFill="1" applyProtection="1"/>
    <xf numFmtId="1" fontId="7" fillId="6" borderId="0" xfId="0" applyNumberFormat="1" applyFont="1" applyFill="1" applyBorder="1" applyAlignment="1">
      <alignment horizontal="left"/>
    </xf>
    <xf numFmtId="0" fontId="7" fillId="6" borderId="0" xfId="0" applyNumberFormat="1" applyFont="1" applyFill="1" applyBorder="1" applyAlignment="1">
      <alignment horizontal="left"/>
    </xf>
    <xf numFmtId="2" fontId="9" fillId="6" borderId="0" xfId="0" applyNumberFormat="1" applyFont="1" applyFill="1" applyBorder="1"/>
    <xf numFmtId="2" fontId="9" fillId="6" borderId="11" xfId="0" applyNumberFormat="1" applyFont="1" applyFill="1" applyBorder="1" applyProtection="1">
      <protection locked="0"/>
    </xf>
    <xf numFmtId="2" fontId="11" fillId="3" borderId="10" xfId="0" applyNumberFormat="1" applyFont="1" applyFill="1" applyBorder="1" applyProtection="1">
      <protection locked="0"/>
    </xf>
    <xf numFmtId="2" fontId="9" fillId="6" borderId="10" xfId="0" applyNumberFormat="1" applyFont="1" applyFill="1" applyBorder="1" applyProtection="1">
      <protection locked="0"/>
    </xf>
    <xf numFmtId="2" fontId="9" fillId="6" borderId="10" xfId="0" applyNumberFormat="1" applyFont="1" applyFill="1" applyBorder="1" applyAlignment="1" applyProtection="1">
      <alignment horizontal="right"/>
      <protection locked="0"/>
    </xf>
    <xf numFmtId="10" fontId="0" fillId="3" borderId="10" xfId="0" applyNumberFormat="1" applyFill="1" applyBorder="1" applyProtection="1">
      <protection locked="0" hidden="1"/>
    </xf>
    <xf numFmtId="2" fontId="7" fillId="6" borderId="2" xfId="0" applyNumberFormat="1" applyFont="1" applyFill="1" applyBorder="1"/>
    <xf numFmtId="2" fontId="7" fillId="6" borderId="0" xfId="0" applyNumberFormat="1" applyFont="1" applyFill="1" applyBorder="1"/>
    <xf numFmtId="2" fontId="7" fillId="6" borderId="0" xfId="0" applyNumberFormat="1" applyFont="1" applyFill="1" applyBorder="1" applyAlignment="1">
      <alignment horizontal="right"/>
    </xf>
    <xf numFmtId="10" fontId="6" fillId="6" borderId="0" xfId="0" applyNumberFormat="1" applyFont="1" applyFill="1"/>
    <xf numFmtId="0" fontId="4" fillId="6" borderId="2" xfId="0" applyFont="1" applyFill="1" applyBorder="1"/>
    <xf numFmtId="0" fontId="7" fillId="6" borderId="3" xfId="0" applyNumberFormat="1" applyFont="1" applyFill="1" applyBorder="1" applyAlignment="1">
      <alignment horizontal="left"/>
    </xf>
    <xf numFmtId="2" fontId="7" fillId="6" borderId="2" xfId="0" applyNumberFormat="1" applyFont="1" applyFill="1" applyBorder="1" applyAlignment="1">
      <alignment horizontal="right"/>
    </xf>
    <xf numFmtId="2" fontId="7" fillId="6" borderId="7" xfId="0" applyNumberFormat="1" applyFont="1" applyFill="1" applyBorder="1" applyAlignment="1">
      <alignment horizontal="right"/>
    </xf>
    <xf numFmtId="0" fontId="0" fillId="7" borderId="0" xfId="0" applyFill="1" applyAlignment="1" applyProtection="1">
      <alignment horizontal="right"/>
      <protection hidden="1"/>
    </xf>
    <xf numFmtId="0" fontId="15" fillId="5" borderId="14" xfId="0" applyFont="1" applyFill="1" applyBorder="1" applyProtection="1">
      <protection hidden="1"/>
    </xf>
    <xf numFmtId="0" fontId="15" fillId="5" borderId="9" xfId="0" applyFont="1" applyFill="1" applyBorder="1" applyProtection="1">
      <protection hidden="1"/>
    </xf>
    <xf numFmtId="2" fontId="0" fillId="5" borderId="0" xfId="0" applyNumberFormat="1" applyFill="1"/>
    <xf numFmtId="2" fontId="0" fillId="5" borderId="12" xfId="0" applyNumberFormat="1" applyFill="1" applyBorder="1"/>
    <xf numFmtId="0" fontId="0" fillId="8" borderId="0" xfId="0" applyFill="1" applyProtection="1">
      <protection locked="0" hidden="1"/>
    </xf>
    <xf numFmtId="0" fontId="0" fillId="8" borderId="0" xfId="0" applyFill="1" applyProtection="1">
      <protection locked="0"/>
    </xf>
    <xf numFmtId="2" fontId="0" fillId="0" borderId="0" xfId="0" applyNumberFormat="1" applyFill="1" applyBorder="1"/>
    <xf numFmtId="2" fontId="1" fillId="0" borderId="0" xfId="0" applyNumberFormat="1" applyFont="1" applyFill="1" applyBorder="1"/>
    <xf numFmtId="2" fontId="1" fillId="5" borderId="0" xfId="0" applyNumberFormat="1" applyFont="1" applyFill="1" applyBorder="1"/>
    <xf numFmtId="2" fontId="1" fillId="5" borderId="9" xfId="0" applyNumberFormat="1" applyFont="1" applyFill="1" applyBorder="1"/>
    <xf numFmtId="2" fontId="1" fillId="5" borderId="12" xfId="0" applyNumberFormat="1" applyFont="1" applyFill="1" applyBorder="1"/>
    <xf numFmtId="2" fontId="0" fillId="0" borderId="0" xfId="0" applyNumberFormat="1" applyFill="1"/>
    <xf numFmtId="9" fontId="0" fillId="0" borderId="0" xfId="0" applyNumberFormat="1" applyFill="1"/>
    <xf numFmtId="2" fontId="0" fillId="5" borderId="14" xfId="0" applyNumberFormat="1" applyFill="1" applyBorder="1"/>
    <xf numFmtId="2" fontId="16" fillId="6" borderId="10" xfId="0" applyNumberFormat="1" applyFont="1" applyFill="1" applyBorder="1" applyProtection="1">
      <protection locked="0"/>
    </xf>
    <xf numFmtId="2" fontId="9" fillId="6" borderId="0" xfId="0" applyNumberFormat="1" applyFont="1" applyFill="1" applyBorder="1" applyProtection="1">
      <protection locked="0"/>
    </xf>
    <xf numFmtId="2" fontId="16" fillId="6" borderId="0" xfId="0" applyNumberFormat="1" applyFont="1" applyFill="1" applyBorder="1" applyProtection="1">
      <protection locked="0"/>
    </xf>
    <xf numFmtId="2" fontId="9" fillId="6" borderId="0" xfId="0" applyNumberFormat="1" applyFont="1" applyFill="1" applyBorder="1" applyAlignment="1" applyProtection="1">
      <alignment horizontal="right"/>
      <protection locked="0"/>
    </xf>
    <xf numFmtId="2" fontId="11" fillId="6" borderId="0" xfId="0" applyNumberFormat="1" applyFont="1" applyFill="1" applyBorder="1" applyProtection="1">
      <protection locked="0"/>
    </xf>
    <xf numFmtId="0" fontId="12" fillId="9" borderId="10" xfId="0" applyFont="1" applyFill="1" applyBorder="1" applyProtection="1">
      <protection locked="0" hidden="1"/>
    </xf>
    <xf numFmtId="2" fontId="17" fillId="6" borderId="0" xfId="0" applyNumberFormat="1" applyFont="1" applyFill="1"/>
    <xf numFmtId="4" fontId="0" fillId="8" borderId="10" xfId="0" applyNumberFormat="1" applyFill="1" applyBorder="1" applyProtection="1">
      <protection locked="0" hidden="1"/>
    </xf>
    <xf numFmtId="2" fontId="0" fillId="8" borderId="10" xfId="0" applyNumberFormat="1" applyFill="1" applyBorder="1" applyProtection="1">
      <protection locked="0" hidden="1"/>
    </xf>
    <xf numFmtId="0" fontId="12" fillId="0" borderId="0" xfId="0" applyFont="1" applyBorder="1" applyProtection="1">
      <protection hidden="1"/>
    </xf>
    <xf numFmtId="0" fontId="12" fillId="2" borderId="0" xfId="0" applyFont="1" applyFill="1" applyBorder="1" applyProtection="1">
      <protection locked="0"/>
    </xf>
    <xf numFmtId="0" fontId="12" fillId="10" borderId="0" xfId="0" applyFont="1" applyFill="1" applyBorder="1" applyProtection="1">
      <protection hidden="1"/>
    </xf>
    <xf numFmtId="0" fontId="12" fillId="0" borderId="0" xfId="0" applyFont="1" applyFill="1" applyBorder="1" applyProtection="1">
      <protection hidden="1"/>
    </xf>
    <xf numFmtId="0" fontId="12" fillId="3" borderId="0" xfId="0" applyFont="1" applyFill="1" applyBorder="1" applyProtection="1">
      <protection locked="0" hidden="1"/>
    </xf>
    <xf numFmtId="0" fontId="12" fillId="4" borderId="0" xfId="0" applyFont="1" applyFill="1" applyBorder="1" applyProtection="1">
      <protection hidden="1"/>
    </xf>
    <xf numFmtId="0" fontId="12" fillId="3" borderId="0" xfId="0" applyFont="1" applyFill="1" applyBorder="1" applyProtection="1">
      <protection hidden="1"/>
    </xf>
    <xf numFmtId="0" fontId="12" fillId="0" borderId="0" xfId="0" applyFont="1" applyFill="1" applyProtection="1">
      <protection hidden="1"/>
    </xf>
    <xf numFmtId="0" fontId="12" fillId="0" borderId="0" xfId="0" applyFont="1" applyFill="1" applyAlignment="1" applyProtection="1">
      <alignment horizontal="left"/>
      <protection hidden="1"/>
    </xf>
    <xf numFmtId="0" fontId="12" fillId="0" borderId="0" xfId="0" applyFont="1" applyBorder="1" applyProtection="1">
      <protection locked="0" hidden="1"/>
    </xf>
    <xf numFmtId="0" fontId="12" fillId="9" borderId="0" xfId="0" applyFont="1" applyFill="1" applyBorder="1" applyProtection="1">
      <protection hidden="1"/>
    </xf>
    <xf numFmtId="0" fontId="12" fillId="11" borderId="0" xfId="0" applyFont="1" applyFill="1" applyBorder="1" applyProtection="1">
      <protection hidden="1"/>
    </xf>
    <xf numFmtId="0" fontId="12" fillId="11" borderId="0" xfId="0" applyFont="1" applyFill="1" applyBorder="1" applyProtection="1">
      <protection locked="0" hidden="1"/>
    </xf>
    <xf numFmtId="0" fontId="12" fillId="0" borderId="10" xfId="0" applyFont="1" applyBorder="1" applyProtection="1">
      <protection locked="0" hidden="1"/>
    </xf>
    <xf numFmtId="0" fontId="12" fillId="0" borderId="0" xfId="0" applyFont="1" applyFill="1" applyBorder="1" applyProtection="1">
      <protection locked="0" hidden="1"/>
    </xf>
    <xf numFmtId="0" fontId="12" fillId="0" borderId="0" xfId="0" applyFont="1" applyBorder="1" applyProtection="1">
      <protection locked="0"/>
    </xf>
    <xf numFmtId="0" fontId="12" fillId="0" borderId="0" xfId="0" applyFont="1" applyProtection="1">
      <protection hidden="1"/>
    </xf>
    <xf numFmtId="0" fontId="12" fillId="0" borderId="0" xfId="0" applyFont="1" applyAlignment="1" applyProtection="1">
      <alignment horizontal="right"/>
      <protection hidden="1"/>
    </xf>
    <xf numFmtId="0" fontId="12" fillId="0" borderId="0" xfId="0" applyFont="1" applyFill="1" applyAlignment="1" applyProtection="1">
      <alignment horizontal="right"/>
      <protection hidden="1"/>
    </xf>
    <xf numFmtId="49" fontId="12" fillId="0" borderId="0" xfId="0" applyNumberFormat="1" applyFont="1" applyProtection="1">
      <protection hidden="1"/>
    </xf>
    <xf numFmtId="2" fontId="12" fillId="0" borderId="0" xfId="0" applyNumberFormat="1" applyFont="1" applyProtection="1">
      <protection hidden="1"/>
    </xf>
    <xf numFmtId="0" fontId="12" fillId="0" borderId="10" xfId="0" applyFont="1" applyBorder="1" applyProtection="1">
      <protection hidden="1"/>
    </xf>
    <xf numFmtId="0" fontId="12" fillId="0" borderId="10" xfId="0" applyNumberFormat="1" applyFont="1" applyBorder="1" applyProtection="1">
      <protection hidden="1"/>
    </xf>
    <xf numFmtId="0" fontId="12" fillId="0" borderId="0" xfId="0" applyFont="1" applyAlignment="1" applyProtection="1">
      <protection hidden="1"/>
    </xf>
    <xf numFmtId="0" fontId="20" fillId="0" borderId="0" xfId="0" applyFont="1" applyProtection="1">
      <protection hidden="1"/>
    </xf>
    <xf numFmtId="0" fontId="12" fillId="0" borderId="0" xfId="0" applyNumberFormat="1" applyFont="1" applyProtection="1">
      <protection hidden="1"/>
    </xf>
    <xf numFmtId="0" fontId="20" fillId="0" borderId="0" xfId="0" applyFont="1" applyFill="1" applyAlignment="1" applyProtection="1">
      <alignment horizontal="right"/>
      <protection hidden="1"/>
    </xf>
    <xf numFmtId="1" fontId="12" fillId="0" borderId="0" xfId="0" applyNumberFormat="1" applyFont="1" applyProtection="1">
      <protection hidden="1"/>
    </xf>
    <xf numFmtId="0" fontId="12" fillId="0" borderId="10" xfId="0" applyFont="1" applyFill="1" applyBorder="1" applyProtection="1">
      <protection hidden="1"/>
    </xf>
    <xf numFmtId="14" fontId="12" fillId="0" borderId="0" xfId="0" applyNumberFormat="1" applyFont="1" applyProtection="1">
      <protection hidden="1"/>
    </xf>
    <xf numFmtId="0" fontId="20" fillId="0" borderId="0" xfId="0" applyFont="1" applyFill="1" applyProtection="1">
      <protection hidden="1"/>
    </xf>
    <xf numFmtId="14" fontId="12" fillId="0" borderId="0" xfId="0" applyNumberFormat="1" applyFont="1" applyAlignment="1" applyProtection="1">
      <alignment horizontal="right"/>
      <protection hidden="1"/>
    </xf>
    <xf numFmtId="14" fontId="12" fillId="0" borderId="0" xfId="0" applyNumberFormat="1" applyFont="1" applyAlignment="1" applyProtection="1">
      <protection hidden="1"/>
    </xf>
    <xf numFmtId="165" fontId="12" fillId="0" borderId="0" xfId="0" applyNumberFormat="1" applyFont="1" applyProtection="1">
      <protection hidden="1"/>
    </xf>
    <xf numFmtId="49" fontId="12" fillId="3" borderId="10" xfId="0" applyNumberFormat="1" applyFont="1" applyFill="1" applyBorder="1" applyAlignment="1" applyProtection="1">
      <alignment horizontal="right"/>
      <protection locked="0" hidden="1"/>
    </xf>
    <xf numFmtId="0" fontId="21" fillId="12" borderId="0" xfId="0" applyFont="1" applyFill="1" applyProtection="1">
      <protection hidden="1"/>
    </xf>
    <xf numFmtId="0" fontId="17" fillId="6" borderId="0" xfId="0" applyFont="1" applyFill="1"/>
    <xf numFmtId="0" fontId="22" fillId="6" borderId="0" xfId="0" applyFont="1" applyFill="1"/>
    <xf numFmtId="0" fontId="23" fillId="6" borderId="0" xfId="0" applyFont="1" applyFill="1"/>
    <xf numFmtId="0" fontId="17" fillId="6" borderId="1" xfId="0" applyFont="1" applyFill="1" applyBorder="1"/>
    <xf numFmtId="0" fontId="17" fillId="6" borderId="2" xfId="0" applyFont="1" applyFill="1" applyBorder="1"/>
    <xf numFmtId="2" fontId="17" fillId="6" borderId="2" xfId="0" applyNumberFormat="1" applyFont="1" applyFill="1" applyBorder="1"/>
    <xf numFmtId="1" fontId="17" fillId="6" borderId="3" xfId="0" applyNumberFormat="1" applyFont="1" applyFill="1" applyBorder="1" applyAlignment="1">
      <alignment horizontal="left"/>
    </xf>
    <xf numFmtId="1" fontId="17" fillId="6" borderId="0" xfId="0" applyNumberFormat="1" applyFont="1" applyFill="1" applyBorder="1" applyAlignment="1">
      <alignment horizontal="left"/>
    </xf>
    <xf numFmtId="0" fontId="24" fillId="6" borderId="0" xfId="0" applyFont="1" applyFill="1"/>
    <xf numFmtId="0" fontId="17" fillId="6" borderId="4" xfId="0" applyFont="1" applyFill="1" applyBorder="1"/>
    <xf numFmtId="0" fontId="17" fillId="6" borderId="0" xfId="0" applyFont="1" applyFill="1" applyBorder="1"/>
    <xf numFmtId="2" fontId="17" fillId="6" borderId="0" xfId="0" applyNumberFormat="1" applyFont="1" applyFill="1" applyBorder="1"/>
    <xf numFmtId="1" fontId="17" fillId="6" borderId="5" xfId="0" applyNumberFormat="1" applyFont="1" applyFill="1" applyBorder="1" applyAlignment="1">
      <alignment horizontal="left"/>
    </xf>
    <xf numFmtId="2" fontId="17" fillId="6" borderId="0" xfId="0" applyNumberFormat="1" applyFont="1" applyFill="1" applyBorder="1" applyAlignment="1">
      <alignment horizontal="right"/>
    </xf>
    <xf numFmtId="10" fontId="23" fillId="6" borderId="0" xfId="0" applyNumberFormat="1" applyFont="1" applyFill="1"/>
    <xf numFmtId="0" fontId="17" fillId="6" borderId="6" xfId="0" applyFont="1" applyFill="1" applyBorder="1"/>
    <xf numFmtId="0" fontId="17" fillId="6" borderId="7" xfId="0" applyFont="1" applyFill="1" applyBorder="1"/>
    <xf numFmtId="2" fontId="17" fillId="6" borderId="7" xfId="0" applyNumberFormat="1" applyFont="1" applyFill="1" applyBorder="1"/>
    <xf numFmtId="1" fontId="17" fillId="6" borderId="8" xfId="0" applyNumberFormat="1" applyFont="1" applyFill="1" applyBorder="1" applyAlignment="1">
      <alignment horizontal="left"/>
    </xf>
    <xf numFmtId="0" fontId="17" fillId="6" borderId="0" xfId="0" applyNumberFormat="1" applyFont="1" applyFill="1" applyBorder="1" applyAlignment="1">
      <alignment horizontal="right"/>
    </xf>
    <xf numFmtId="0" fontId="17" fillId="6" borderId="5" xfId="0" applyNumberFormat="1" applyFont="1" applyFill="1" applyBorder="1" applyAlignment="1">
      <alignment horizontal="left"/>
    </xf>
    <xf numFmtId="0" fontId="17" fillId="6" borderId="0" xfId="0" applyNumberFormat="1" applyFont="1" applyFill="1" applyBorder="1" applyAlignment="1">
      <alignment horizontal="left"/>
    </xf>
    <xf numFmtId="0" fontId="24" fillId="6" borderId="0" xfId="0" applyNumberFormat="1" applyFont="1" applyFill="1"/>
    <xf numFmtId="0" fontId="17" fillId="6" borderId="7" xfId="0" applyNumberFormat="1" applyFont="1" applyFill="1" applyBorder="1" applyAlignment="1">
      <alignment horizontal="right"/>
    </xf>
    <xf numFmtId="0" fontId="17" fillId="6" borderId="8" xfId="0" applyNumberFormat="1" applyFont="1" applyFill="1" applyBorder="1" applyAlignment="1">
      <alignment horizontal="left"/>
    </xf>
    <xf numFmtId="2" fontId="17" fillId="6" borderId="2" xfId="0" applyNumberFormat="1" applyFont="1" applyFill="1" applyBorder="1" applyAlignment="1">
      <alignment horizontal="right"/>
    </xf>
    <xf numFmtId="0" fontId="17" fillId="6" borderId="3" xfId="0" applyNumberFormat="1" applyFont="1" applyFill="1" applyBorder="1" applyAlignment="1">
      <alignment horizontal="left"/>
    </xf>
    <xf numFmtId="2" fontId="17" fillId="6" borderId="7" xfId="0" applyNumberFormat="1" applyFont="1" applyFill="1" applyBorder="1" applyAlignment="1">
      <alignment horizontal="right"/>
    </xf>
    <xf numFmtId="0" fontId="22" fillId="6" borderId="12" xfId="0" applyFont="1" applyFill="1" applyBorder="1"/>
    <xf numFmtId="0" fontId="22" fillId="6" borderId="9" xfId="0" applyFont="1" applyFill="1" applyBorder="1" applyAlignment="1">
      <alignment horizontal="center"/>
    </xf>
    <xf numFmtId="0" fontId="22" fillId="6" borderId="11" xfId="0" applyFont="1" applyFill="1" applyBorder="1" applyProtection="1">
      <protection locked="0"/>
    </xf>
    <xf numFmtId="164" fontId="22" fillId="6" borderId="11" xfId="0" applyNumberFormat="1" applyFont="1" applyFill="1" applyBorder="1" applyAlignment="1">
      <alignment horizontal="right"/>
    </xf>
    <xf numFmtId="2" fontId="22" fillId="6" borderId="11" xfId="0" applyNumberFormat="1" applyFont="1" applyFill="1" applyBorder="1" applyProtection="1">
      <protection locked="0"/>
    </xf>
    <xf numFmtId="2" fontId="17" fillId="3" borderId="10" xfId="0" applyNumberFormat="1" applyFont="1" applyFill="1" applyBorder="1" applyProtection="1">
      <protection locked="0"/>
    </xf>
    <xf numFmtId="2" fontId="22" fillId="6" borderId="10" xfId="0" applyNumberFormat="1" applyFont="1" applyFill="1" applyBorder="1" applyProtection="1">
      <protection locked="0"/>
    </xf>
    <xf numFmtId="2" fontId="25" fillId="6" borderId="10" xfId="0" applyNumberFormat="1" applyFont="1" applyFill="1" applyBorder="1" applyAlignment="1" applyProtection="1">
      <alignment horizontal="right"/>
      <protection locked="0"/>
    </xf>
    <xf numFmtId="0" fontId="25" fillId="6" borderId="10" xfId="0" applyFont="1" applyFill="1" applyBorder="1"/>
    <xf numFmtId="0" fontId="22" fillId="6" borderId="10" xfId="0" applyFont="1" applyFill="1" applyBorder="1" applyAlignment="1">
      <alignment horizontal="right"/>
    </xf>
    <xf numFmtId="2" fontId="26" fillId="6" borderId="10" xfId="0" applyNumberFormat="1" applyFont="1" applyFill="1" applyBorder="1"/>
    <xf numFmtId="2" fontId="24" fillId="3" borderId="10" xfId="0" applyNumberFormat="1" applyFont="1" applyFill="1" applyBorder="1"/>
    <xf numFmtId="0" fontId="22" fillId="6" borderId="10" xfId="0" applyFont="1" applyFill="1" applyBorder="1"/>
    <xf numFmtId="49" fontId="22" fillId="6" borderId="10" xfId="0" applyNumberFormat="1" applyFont="1" applyFill="1" applyBorder="1" applyAlignment="1">
      <alignment horizontal="right"/>
    </xf>
    <xf numFmtId="2" fontId="22" fillId="6" borderId="10" xfId="0" applyNumberFormat="1" applyFont="1" applyFill="1" applyBorder="1"/>
    <xf numFmtId="2" fontId="17" fillId="3" borderId="10" xfId="0" applyNumberFormat="1" applyFont="1" applyFill="1" applyBorder="1"/>
    <xf numFmtId="2" fontId="22" fillId="0" borderId="10" xfId="0" applyNumberFormat="1" applyFont="1" applyFill="1" applyBorder="1"/>
    <xf numFmtId="0" fontId="22" fillId="6" borderId="0" xfId="0" applyFont="1" applyFill="1" applyBorder="1"/>
    <xf numFmtId="0" fontId="22" fillId="6" borderId="0" xfId="0" applyFont="1" applyFill="1" applyBorder="1" applyAlignment="1">
      <alignment horizontal="right"/>
    </xf>
    <xf numFmtId="2" fontId="22" fillId="6" borderId="0" xfId="0" applyNumberFormat="1" applyFont="1" applyFill="1" applyBorder="1"/>
    <xf numFmtId="2" fontId="23" fillId="6" borderId="0" xfId="0" applyNumberFormat="1" applyFont="1" applyFill="1" applyBorder="1"/>
    <xf numFmtId="2" fontId="17" fillId="0" borderId="0" xfId="0" applyNumberFormat="1" applyFont="1" applyFill="1" applyBorder="1"/>
    <xf numFmtId="1" fontId="22" fillId="6" borderId="0" xfId="0" applyNumberFormat="1" applyFont="1" applyFill="1" applyBorder="1"/>
    <xf numFmtId="0" fontId="17" fillId="6" borderId="0" xfId="0" applyFont="1" applyFill="1" applyBorder="1" applyAlignment="1">
      <alignment horizontal="right"/>
    </xf>
    <xf numFmtId="1" fontId="0" fillId="2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revisionHeaders" Target="revisions/revisionHeader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usernames" Target="revisions/userNames.xml"/></Relationships>
</file>

<file path=xl/ctrlProps/ctrlProp1.xml><?xml version="1.0" encoding="utf-8"?>
<formControlPr xmlns="http://schemas.microsoft.com/office/spreadsheetml/2009/9/main" objectType="Drop" dropLines="3" dropStyle="combo" dx="22" fmlaLink="Languages!$B$1" fmlaRange="$L$19:$L$21" noThreeD="1" sel="1" val="0"/>
</file>

<file path=xl/ctrlProps/ctrlProp2.xml><?xml version="1.0" encoding="utf-8"?>
<formControlPr xmlns="http://schemas.microsoft.com/office/spreadsheetml/2009/9/main" objectType="Drop" dropLines="2" dropStyle="combo" dx="22" fmlaLink="Languages!$B$52" fmlaRange="Languages!$B$50:$B$51" noThreeD="1" sel="1" val="0"/>
</file>

<file path=xl/ctrlProps/ctrlProp3.xml><?xml version="1.0" encoding="utf-8"?>
<formControlPr xmlns="http://schemas.microsoft.com/office/spreadsheetml/2009/9/main" objectType="Drop" dropLines="3" dropStyle="combo" dx="22" fmlaLink="Languages!$C$19" fmlaRange="Languages!$B$19:$B$21" noThreeD="1" sel="3" val="0"/>
</file>

<file path=xl/ctrlProps/ctrlProp4.xml><?xml version="1.0" encoding="utf-8"?>
<formControlPr xmlns="http://schemas.microsoft.com/office/spreadsheetml/2009/9/main" objectType="Drop" dropLines="2" dropStyle="combo" dx="22" fmlaLink="Languages!$B$146" fmlaRange="Languages!$B$147:$B$148" noThreeD="1" sel="1" val="0"/>
</file>

<file path=xl/ctrlProps/ctrlProp5.xml><?xml version="1.0" encoding="utf-8"?>
<formControlPr xmlns="http://schemas.microsoft.com/office/spreadsheetml/2009/9/main" objectType="Drop" dropLines="2" dropStyle="combo" dx="22" fmlaLink="Languages!$B$165" fmlaRange="Languages!$B$163:$B$164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0</xdr:row>
      <xdr:rowOff>0</xdr:rowOff>
    </xdr:from>
    <xdr:to>
      <xdr:col>13</xdr:col>
      <xdr:colOff>85725</xdr:colOff>
      <xdr:row>26</xdr:row>
      <xdr:rowOff>38100</xdr:rowOff>
    </xdr:to>
    <xdr:pic>
      <xdr:nvPicPr>
        <xdr:cNvPr id="1028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" y="0"/>
          <a:ext cx="6724650" cy="42481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361950</xdr:colOff>
          <xdr:row>26</xdr:row>
          <xdr:rowOff>123825</xdr:rowOff>
        </xdr:from>
        <xdr:to>
          <xdr:col>10</xdr:col>
          <xdr:colOff>361950</xdr:colOff>
          <xdr:row>28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0</xdr:rowOff>
        </xdr:from>
        <xdr:to>
          <xdr:col>4</xdr:col>
          <xdr:colOff>228600</xdr:colOff>
          <xdr:row>48</xdr:row>
          <xdr:rowOff>200025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17</xdr:row>
          <xdr:rowOff>161925</xdr:rowOff>
        </xdr:from>
        <xdr:to>
          <xdr:col>4</xdr:col>
          <xdr:colOff>228600</xdr:colOff>
          <xdr:row>18</xdr:row>
          <xdr:rowOff>190500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104775</xdr:colOff>
      <xdr:row>1</xdr:row>
      <xdr:rowOff>66675</xdr:rowOff>
    </xdr:from>
    <xdr:to>
      <xdr:col>9</xdr:col>
      <xdr:colOff>228600</xdr:colOff>
      <xdr:row>5</xdr:row>
      <xdr:rowOff>57150</xdr:rowOff>
    </xdr:to>
    <xdr:pic>
      <xdr:nvPicPr>
        <xdr:cNvPr id="3079" name="Picture 3" descr="image00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19800" y="228600"/>
          <a:ext cx="10668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4</xdr:col>
          <xdr:colOff>228600</xdr:colOff>
          <xdr:row>16</xdr:row>
          <xdr:rowOff>200025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45</xdr:row>
          <xdr:rowOff>123825</xdr:rowOff>
        </xdr:from>
        <xdr:to>
          <xdr:col>4</xdr:col>
          <xdr:colOff>257175</xdr:colOff>
          <xdr:row>47</xdr:row>
          <xdr:rowOff>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" textlink="">
      <xdr:nvSpPr>
        <xdr:cNvPr id="2090" name="Rectangle 21"/>
        <xdr:cNvSpPr>
          <a:spLocks noChangeArrowheads="1"/>
        </xdr:cNvSpPr>
      </xdr:nvSpPr>
      <xdr:spPr bwMode="auto">
        <a:xfrm>
          <a:off x="4381500" y="32385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" textlink="">
      <xdr:nvSpPr>
        <xdr:cNvPr id="2091" name="Rectangle 22"/>
        <xdr:cNvSpPr>
          <a:spLocks noChangeArrowheads="1"/>
        </xdr:cNvSpPr>
      </xdr:nvSpPr>
      <xdr:spPr bwMode="auto">
        <a:xfrm>
          <a:off x="4381500" y="32385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" textlink="">
      <xdr:nvSpPr>
        <xdr:cNvPr id="2092" name="Rectangle 23"/>
        <xdr:cNvSpPr>
          <a:spLocks noChangeArrowheads="1"/>
        </xdr:cNvSpPr>
      </xdr:nvSpPr>
      <xdr:spPr bwMode="auto">
        <a:xfrm>
          <a:off x="4381500" y="97155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0</xdr:colOff>
      <xdr:row>9</xdr:row>
      <xdr:rowOff>0</xdr:rowOff>
    </xdr:to>
    <xdr:sp macro="" textlink="">
      <xdr:nvSpPr>
        <xdr:cNvPr id="2093" name="Rectangle 24"/>
        <xdr:cNvSpPr>
          <a:spLocks noChangeArrowheads="1"/>
        </xdr:cNvSpPr>
      </xdr:nvSpPr>
      <xdr:spPr bwMode="auto">
        <a:xfrm>
          <a:off x="4381500" y="129540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2094" name="Rectangle 26"/>
        <xdr:cNvSpPr>
          <a:spLocks noChangeArrowheads="1"/>
        </xdr:cNvSpPr>
      </xdr:nvSpPr>
      <xdr:spPr bwMode="auto">
        <a:xfrm>
          <a:off x="4381500" y="194310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0</xdr:colOff>
      <xdr:row>27</xdr:row>
      <xdr:rowOff>0</xdr:rowOff>
    </xdr:to>
    <xdr:sp macro="" textlink="">
      <xdr:nvSpPr>
        <xdr:cNvPr id="2095" name="Rectangle 27"/>
        <xdr:cNvSpPr>
          <a:spLocks noChangeArrowheads="1"/>
        </xdr:cNvSpPr>
      </xdr:nvSpPr>
      <xdr:spPr bwMode="auto">
        <a:xfrm>
          <a:off x="4381500" y="421005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0</xdr:colOff>
      <xdr:row>27</xdr:row>
      <xdr:rowOff>0</xdr:rowOff>
    </xdr:to>
    <xdr:sp macro="" textlink="">
      <xdr:nvSpPr>
        <xdr:cNvPr id="2096" name="Rectangle 28"/>
        <xdr:cNvSpPr>
          <a:spLocks noChangeArrowheads="1"/>
        </xdr:cNvSpPr>
      </xdr:nvSpPr>
      <xdr:spPr bwMode="auto">
        <a:xfrm>
          <a:off x="4381500" y="421005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0</xdr:colOff>
      <xdr:row>29</xdr:row>
      <xdr:rowOff>0</xdr:rowOff>
    </xdr:to>
    <xdr:sp macro="" textlink="">
      <xdr:nvSpPr>
        <xdr:cNvPr id="2097" name="Rectangle 29"/>
        <xdr:cNvSpPr>
          <a:spLocks noChangeArrowheads="1"/>
        </xdr:cNvSpPr>
      </xdr:nvSpPr>
      <xdr:spPr bwMode="auto">
        <a:xfrm>
          <a:off x="4381500" y="453390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0</xdr:colOff>
      <xdr:row>29</xdr:row>
      <xdr:rowOff>0</xdr:rowOff>
    </xdr:to>
    <xdr:sp macro="" textlink="">
      <xdr:nvSpPr>
        <xdr:cNvPr id="2098" name="Rectangle 30"/>
        <xdr:cNvSpPr>
          <a:spLocks noChangeArrowheads="1"/>
        </xdr:cNvSpPr>
      </xdr:nvSpPr>
      <xdr:spPr bwMode="auto">
        <a:xfrm>
          <a:off x="4381500" y="453390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0</xdr:colOff>
      <xdr:row>31</xdr:row>
      <xdr:rowOff>0</xdr:rowOff>
    </xdr:to>
    <xdr:sp macro="" textlink="">
      <xdr:nvSpPr>
        <xdr:cNvPr id="2099" name="Rectangle 31"/>
        <xdr:cNvSpPr>
          <a:spLocks noChangeArrowheads="1"/>
        </xdr:cNvSpPr>
      </xdr:nvSpPr>
      <xdr:spPr bwMode="auto">
        <a:xfrm>
          <a:off x="4381500" y="485775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0</xdr:colOff>
      <xdr:row>31</xdr:row>
      <xdr:rowOff>0</xdr:rowOff>
    </xdr:to>
    <xdr:sp macro="" textlink="">
      <xdr:nvSpPr>
        <xdr:cNvPr id="2100" name="Rectangle 32"/>
        <xdr:cNvSpPr>
          <a:spLocks noChangeArrowheads="1"/>
        </xdr:cNvSpPr>
      </xdr:nvSpPr>
      <xdr:spPr bwMode="auto">
        <a:xfrm>
          <a:off x="4381500" y="485775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" textlink="">
      <xdr:nvSpPr>
        <xdr:cNvPr id="2101" name="Rectangle 33"/>
        <xdr:cNvSpPr>
          <a:spLocks noChangeArrowheads="1"/>
        </xdr:cNvSpPr>
      </xdr:nvSpPr>
      <xdr:spPr bwMode="auto">
        <a:xfrm>
          <a:off x="4381500" y="64770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0</xdr:colOff>
      <xdr:row>33</xdr:row>
      <xdr:rowOff>0</xdr:rowOff>
    </xdr:to>
    <xdr:sp macro="" textlink="">
      <xdr:nvSpPr>
        <xdr:cNvPr id="2102" name="Rectangle 34"/>
        <xdr:cNvSpPr>
          <a:spLocks noChangeArrowheads="1"/>
        </xdr:cNvSpPr>
      </xdr:nvSpPr>
      <xdr:spPr bwMode="auto">
        <a:xfrm>
          <a:off x="4381500" y="518160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0</xdr:colOff>
      <xdr:row>33</xdr:row>
      <xdr:rowOff>0</xdr:rowOff>
    </xdr:to>
    <xdr:sp macro="" textlink="">
      <xdr:nvSpPr>
        <xdr:cNvPr id="2103" name="Rectangle 35"/>
        <xdr:cNvSpPr>
          <a:spLocks noChangeArrowheads="1"/>
        </xdr:cNvSpPr>
      </xdr:nvSpPr>
      <xdr:spPr bwMode="auto">
        <a:xfrm>
          <a:off x="4381500" y="518160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0</xdr:colOff>
      <xdr:row>35</xdr:row>
      <xdr:rowOff>0</xdr:rowOff>
    </xdr:to>
    <xdr:sp macro="" textlink="">
      <xdr:nvSpPr>
        <xdr:cNvPr id="2104" name="Rectangle 36"/>
        <xdr:cNvSpPr>
          <a:spLocks noChangeArrowheads="1"/>
        </xdr:cNvSpPr>
      </xdr:nvSpPr>
      <xdr:spPr bwMode="auto">
        <a:xfrm>
          <a:off x="4381500" y="550545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0</xdr:colOff>
      <xdr:row>35</xdr:row>
      <xdr:rowOff>0</xdr:rowOff>
    </xdr:to>
    <xdr:sp macro="" textlink="">
      <xdr:nvSpPr>
        <xdr:cNvPr id="2105" name="Rectangle 37"/>
        <xdr:cNvSpPr>
          <a:spLocks noChangeArrowheads="1"/>
        </xdr:cNvSpPr>
      </xdr:nvSpPr>
      <xdr:spPr bwMode="auto">
        <a:xfrm>
          <a:off x="4381500" y="550545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amikah/Desktop/Senedler/QRAFI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Load"/>
      <sheetName val="Mirror for payments"/>
      <sheetName val="AZN only"/>
      <sheetName val="Expenses"/>
      <sheetName val="Dates"/>
      <sheetName val="Languages"/>
    </sheetNames>
    <sheetDataSet>
      <sheetData sheetId="0"/>
      <sheetData sheetId="1"/>
      <sheetData sheetId="2"/>
      <sheetData sheetId="3"/>
      <sheetData sheetId="4"/>
      <sheetData sheetId="5">
        <row r="39">
          <cell r="A39">
            <v>39</v>
          </cell>
        </row>
        <row r="40">
          <cell r="A40">
            <v>40</v>
          </cell>
        </row>
        <row r="43">
          <cell r="A43">
            <v>43</v>
          </cell>
        </row>
      </sheetData>
      <sheetData sheetId="6">
        <row r="81">
          <cell r="B81" t="str">
            <v>Lizinq verən</v>
          </cell>
        </row>
        <row r="88">
          <cell r="B88" t="str">
            <v>"AGLeasing" QSC</v>
          </cell>
        </row>
      </sheetData>
    </sheetDataSet>
  </externalBook>
</externalLink>
</file>

<file path=xl/revisions/_rels/revisionHeaders.xml.rels><?xml version="1.0" encoding="UTF-8" standalone="yes"?>
<Relationships xmlns="http://schemas.openxmlformats.org/package/2006/relationships"><Relationship Id="rId8" Type="http://schemas.openxmlformats.org/officeDocument/2006/relationships/revisionLog" Target="revisionLog8.xml"/><Relationship Id="rId13" Type="http://schemas.openxmlformats.org/officeDocument/2006/relationships/revisionLog" Target="revisionLog13.xml"/><Relationship Id="rId18" Type="http://schemas.openxmlformats.org/officeDocument/2006/relationships/revisionLog" Target="revisionLog2.xml"/><Relationship Id="rId26" Type="http://schemas.openxmlformats.org/officeDocument/2006/relationships/revisionLog" Target="revisionLog19.xml"/><Relationship Id="rId21" Type="http://schemas.openxmlformats.org/officeDocument/2006/relationships/revisionLog" Target="revisionLog5.xml"/><Relationship Id="rId12" Type="http://schemas.openxmlformats.org/officeDocument/2006/relationships/revisionLog" Target="revisionLog12.xml"/><Relationship Id="rId17" Type="http://schemas.openxmlformats.org/officeDocument/2006/relationships/revisionLog" Target="revisionLog1.xml"/><Relationship Id="rId25" Type="http://schemas.openxmlformats.org/officeDocument/2006/relationships/revisionLog" Target="revisionLog18.xml"/><Relationship Id="rId16" Type="http://schemas.openxmlformats.org/officeDocument/2006/relationships/revisionLog" Target="revisionLog16.xml"/><Relationship Id="rId20" Type="http://schemas.openxmlformats.org/officeDocument/2006/relationships/revisionLog" Target="revisionLog4.xml"/><Relationship Id="rId29" Type="http://schemas.openxmlformats.org/officeDocument/2006/relationships/revisionLog" Target="revisionLog22.xml"/><Relationship Id="rId11" Type="http://schemas.openxmlformats.org/officeDocument/2006/relationships/revisionLog" Target="revisionLog11.xml"/><Relationship Id="rId24" Type="http://schemas.openxmlformats.org/officeDocument/2006/relationships/revisionLog" Target="revisionLog17.xml"/><Relationship Id="rId15" Type="http://schemas.openxmlformats.org/officeDocument/2006/relationships/revisionLog" Target="revisionLog15.xml"/><Relationship Id="rId23" Type="http://schemas.openxmlformats.org/officeDocument/2006/relationships/revisionLog" Target="revisionLog7.xml"/><Relationship Id="rId28" Type="http://schemas.openxmlformats.org/officeDocument/2006/relationships/revisionLog" Target="revisionLog21.xml"/><Relationship Id="rId10" Type="http://schemas.openxmlformats.org/officeDocument/2006/relationships/revisionLog" Target="revisionLog10.xml"/><Relationship Id="rId19" Type="http://schemas.openxmlformats.org/officeDocument/2006/relationships/revisionLog" Target="revisionLog3.xml"/><Relationship Id="rId31" Type="http://schemas.openxmlformats.org/officeDocument/2006/relationships/revisionLog" Target="revisionLog24.xml"/><Relationship Id="rId14" Type="http://schemas.openxmlformats.org/officeDocument/2006/relationships/revisionLog" Target="revisionLog14.xml"/><Relationship Id="rId9" Type="http://schemas.openxmlformats.org/officeDocument/2006/relationships/revisionLog" Target="revisionLog9.xml"/><Relationship Id="rId22" Type="http://schemas.openxmlformats.org/officeDocument/2006/relationships/revisionLog" Target="revisionLog6.xml"/><Relationship Id="rId27" Type="http://schemas.openxmlformats.org/officeDocument/2006/relationships/revisionLog" Target="revisionLog20.xml"/><Relationship Id="rId30" Type="http://schemas.openxmlformats.org/officeDocument/2006/relationships/revisionLog" Target="revisionLog23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B07BE8BD-92DE-457A-97B9-B223361F6943}" diskRevisions="1" revisionId="218" version="31">
  <header guid="{E8DDE1A6-2C60-4369-A0A3-57DD84A15D6D}" dateTime="2014-07-08T14:14:10" maxSheetId="8" userName="Namik Heydarov" r:id="rId8" minRId="46">
    <sheetIdMap count="7">
      <sheetId val="1"/>
      <sheetId val="2"/>
      <sheetId val="3"/>
      <sheetId val="4"/>
      <sheetId val="5"/>
      <sheetId val="6"/>
      <sheetId val="7"/>
    </sheetIdMap>
  </header>
  <header guid="{20959075-5AA1-492E-B5EC-DA99F035D7CC}" dateTime="2014-07-09T09:58:14" maxSheetId="8" userName="Namik Heydarov" r:id="rId9" minRId="52" maxRId="53">
    <sheetIdMap count="7">
      <sheetId val="1"/>
      <sheetId val="2"/>
      <sheetId val="3"/>
      <sheetId val="4"/>
      <sheetId val="5"/>
      <sheetId val="6"/>
      <sheetId val="7"/>
    </sheetIdMap>
  </header>
  <header guid="{324A7130-E561-4215-8E70-75B05E8DF753}" dateTime="2014-07-09T17:40:06" maxSheetId="8" userName="Namik Heydarov" r:id="rId10" minRId="59">
    <sheetIdMap count="7">
      <sheetId val="1"/>
      <sheetId val="2"/>
      <sheetId val="3"/>
      <sheetId val="4"/>
      <sheetId val="5"/>
      <sheetId val="6"/>
      <sheetId val="7"/>
    </sheetIdMap>
  </header>
  <header guid="{40ECFDF2-51D4-4484-A194-FAC8F79511B2}" dateTime="2014-07-09T17:40:24" maxSheetId="8" userName="Namik Heydarov" r:id="rId11" minRId="60">
    <sheetIdMap count="7">
      <sheetId val="1"/>
      <sheetId val="2"/>
      <sheetId val="3"/>
      <sheetId val="4"/>
      <sheetId val="5"/>
      <sheetId val="6"/>
      <sheetId val="7"/>
    </sheetIdMap>
  </header>
  <header guid="{32E154A9-DFEF-4F3F-AB52-49D9B383C6D8}" dateTime="2014-07-09T17:57:40" maxSheetId="8" userName="Namik Heydarov" r:id="rId12" minRId="61" maxRId="70">
    <sheetIdMap count="7">
      <sheetId val="1"/>
      <sheetId val="2"/>
      <sheetId val="3"/>
      <sheetId val="4"/>
      <sheetId val="5"/>
      <sheetId val="6"/>
      <sheetId val="7"/>
    </sheetIdMap>
  </header>
  <header guid="{CD47B47E-E979-460B-91F0-24061767CD23}" dateTime="2014-07-14T14:12:33" maxSheetId="8" userName="Namik Heydarov" r:id="rId13" minRId="76" maxRId="79">
    <sheetIdMap count="7">
      <sheetId val="1"/>
      <sheetId val="2"/>
      <sheetId val="3"/>
      <sheetId val="4"/>
      <sheetId val="5"/>
      <sheetId val="6"/>
      <sheetId val="7"/>
    </sheetIdMap>
  </header>
  <header guid="{005E27D5-D134-48F9-A51D-023A42F46CD8}" dateTime="2014-07-14T14:13:34" maxSheetId="8" userName="Namik Heydarov" r:id="rId14" minRId="85" maxRId="86">
    <sheetIdMap count="7">
      <sheetId val="1"/>
      <sheetId val="2"/>
      <sheetId val="3"/>
      <sheetId val="4"/>
      <sheetId val="5"/>
      <sheetId val="6"/>
      <sheetId val="7"/>
    </sheetIdMap>
  </header>
  <header guid="{5E5195F9-7A80-43E9-A820-5FAADEF847F4}" dateTime="2014-07-17T13:40:15" maxSheetId="8" userName="Namik Heydarov" r:id="rId15" minRId="87">
    <sheetIdMap count="7">
      <sheetId val="1"/>
      <sheetId val="2"/>
      <sheetId val="3"/>
      <sheetId val="4"/>
      <sheetId val="5"/>
      <sheetId val="6"/>
      <sheetId val="7"/>
    </sheetIdMap>
  </header>
  <header guid="{D1E3A762-5E05-42FF-87BA-AFFD00D552E6}" dateTime="2014-08-07T10:33:20" maxSheetId="8" userName="Namik Heydarov" r:id="rId16">
    <sheetIdMap count="7">
      <sheetId val="1"/>
      <sheetId val="2"/>
      <sheetId val="3"/>
      <sheetId val="4"/>
      <sheetId val="5"/>
      <sheetId val="6"/>
      <sheetId val="7"/>
    </sheetIdMap>
  </header>
  <header guid="{F355C174-CE0A-4703-BFBE-7F9E30F8127F}" dateTime="2014-09-22T09:49:31" maxSheetId="8" userName="Rashad Musayev" r:id="rId17" minRId="93" maxRId="103">
    <sheetIdMap count="7">
      <sheetId val="1"/>
      <sheetId val="2"/>
      <sheetId val="3"/>
      <sheetId val="4"/>
      <sheetId val="5"/>
      <sheetId val="6"/>
      <sheetId val="7"/>
    </sheetIdMap>
  </header>
  <header guid="{72E761B2-5350-405E-906E-6BE42D9D61C6}" dateTime="2014-10-31T12:49:16" maxSheetId="8" userName="Namik Heydarov" r:id="rId18" minRId="109">
    <sheetIdMap count="7">
      <sheetId val="1"/>
      <sheetId val="2"/>
      <sheetId val="3"/>
      <sheetId val="4"/>
      <sheetId val="5"/>
      <sheetId val="6"/>
      <sheetId val="7"/>
    </sheetIdMap>
  </header>
  <header guid="{DB53E4DB-DD20-419B-9A52-610A7A6A38E6}" dateTime="2014-10-31T14:32:07" maxSheetId="8" userName="Namik Heydarov" r:id="rId19" minRId="110" maxRId="119">
    <sheetIdMap count="7">
      <sheetId val="1"/>
      <sheetId val="2"/>
      <sheetId val="3"/>
      <sheetId val="4"/>
      <sheetId val="5"/>
      <sheetId val="6"/>
      <sheetId val="7"/>
    </sheetIdMap>
  </header>
  <header guid="{A928E122-B4AD-4EE9-9E4E-BAE406ECC429}" dateTime="2014-11-06T10:10:46" maxSheetId="8" userName="Namik Heydarov" r:id="rId20" minRId="120" maxRId="128">
    <sheetIdMap count="7">
      <sheetId val="1"/>
      <sheetId val="2"/>
      <sheetId val="3"/>
      <sheetId val="4"/>
      <sheetId val="5"/>
      <sheetId val="6"/>
      <sheetId val="7"/>
    </sheetIdMap>
  </header>
  <header guid="{591FA926-929D-4977-8FBA-8DA1C93716B1}" dateTime="2014-11-11T15:46:04" maxSheetId="8" userName="Namik Heydarov" r:id="rId21" minRId="129" maxRId="137">
    <sheetIdMap count="7">
      <sheetId val="1"/>
      <sheetId val="2"/>
      <sheetId val="3"/>
      <sheetId val="4"/>
      <sheetId val="5"/>
      <sheetId val="6"/>
      <sheetId val="7"/>
    </sheetIdMap>
  </header>
  <header guid="{053B07DD-3517-4AC1-BE72-4105E04F7110}" dateTime="2014-11-19T10:11:53" maxSheetId="8" userName="Namik Heydarov" r:id="rId22" minRId="138" maxRId="146">
    <sheetIdMap count="7">
      <sheetId val="1"/>
      <sheetId val="2"/>
      <sheetId val="3"/>
      <sheetId val="4"/>
      <sheetId val="5"/>
      <sheetId val="6"/>
      <sheetId val="7"/>
    </sheetIdMap>
  </header>
  <header guid="{CE87AE67-40CE-43D7-9ECF-33F23BED8177}" dateTime="2014-11-21T10:03:10" maxSheetId="8" userName="Namik Heydarov" r:id="rId23" minRId="152" maxRId="160">
    <sheetIdMap count="7">
      <sheetId val="1"/>
      <sheetId val="2"/>
      <sheetId val="3"/>
      <sheetId val="4"/>
      <sheetId val="5"/>
      <sheetId val="6"/>
      <sheetId val="7"/>
    </sheetIdMap>
  </header>
  <header guid="{979347A7-1995-4D06-97C9-36814F2535AD}" dateTime="2014-11-21T10:29:32" maxSheetId="8" userName="Namik Heydarov" r:id="rId24" minRId="161" maxRId="166">
    <sheetIdMap count="7">
      <sheetId val="1"/>
      <sheetId val="2"/>
      <sheetId val="3"/>
      <sheetId val="4"/>
      <sheetId val="5"/>
      <sheetId val="6"/>
      <sheetId val="7"/>
    </sheetIdMap>
  </header>
  <header guid="{5EA9C7B9-2E0A-4611-BDC3-151B8662574F}" dateTime="2014-11-21T11:27:24" maxSheetId="8" userName="Namik Heydarov" r:id="rId25" minRId="167" maxRId="172">
    <sheetIdMap count="7">
      <sheetId val="1"/>
      <sheetId val="2"/>
      <sheetId val="3"/>
      <sheetId val="4"/>
      <sheetId val="5"/>
      <sheetId val="6"/>
      <sheetId val="7"/>
    </sheetIdMap>
  </header>
  <header guid="{7245C894-9D52-4AE1-A9B7-80430E0DC618}" dateTime="2014-12-01T16:51:48" maxSheetId="8" userName="Namik Heydarov" r:id="rId26" minRId="173" maxRId="181">
    <sheetIdMap count="7">
      <sheetId val="1"/>
      <sheetId val="2"/>
      <sheetId val="3"/>
      <sheetId val="4"/>
      <sheetId val="5"/>
      <sheetId val="6"/>
      <sheetId val="7"/>
    </sheetIdMap>
  </header>
  <header guid="{B718D795-4F3F-422F-933A-64354D69299F}" dateTime="2015-04-10T16:32:12" maxSheetId="8" userName="Namik A. Heydarov" r:id="rId27" minRId="182" maxRId="184">
    <sheetIdMap count="7">
      <sheetId val="1"/>
      <sheetId val="2"/>
      <sheetId val="3"/>
      <sheetId val="4"/>
      <sheetId val="5"/>
      <sheetId val="6"/>
      <sheetId val="7"/>
    </sheetIdMap>
  </header>
  <header guid="{5A9348A6-71A3-46B5-BD02-1D64114EB2D7}" dateTime="2015-04-10T16:34:17" maxSheetId="8" userName="Namik A. Heydarov" r:id="rId28" minRId="190" maxRId="195">
    <sheetIdMap count="7">
      <sheetId val="1"/>
      <sheetId val="2"/>
      <sheetId val="3"/>
      <sheetId val="4"/>
      <sheetId val="5"/>
      <sheetId val="6"/>
      <sheetId val="7"/>
    </sheetIdMap>
  </header>
  <header guid="{0D58E033-5D4D-4954-A414-4A490E6C0B79}" dateTime="2015-04-24T12:44:50" maxSheetId="8" userName="Namik A. Heydarov" r:id="rId29" minRId="196" maxRId="199">
    <sheetIdMap count="7">
      <sheetId val="1"/>
      <sheetId val="2"/>
      <sheetId val="3"/>
      <sheetId val="4"/>
      <sheetId val="5"/>
      <sheetId val="6"/>
      <sheetId val="7"/>
    </sheetIdMap>
  </header>
  <header guid="{64BBB7E6-0A02-4AAA-971F-A309EA440592}" dateTime="2017-08-18T12:46:47" maxSheetId="8" userName="Namik A. Heydarov" r:id="rId30" minRId="205" maxRId="207">
    <sheetIdMap count="7">
      <sheetId val="1"/>
      <sheetId val="2"/>
      <sheetId val="3"/>
      <sheetId val="4"/>
      <sheetId val="5"/>
      <sheetId val="6"/>
      <sheetId val="7"/>
    </sheetIdMap>
  </header>
  <header guid="{B07BE8BD-92DE-457A-97B9-B223361F6943}" dateTime="2018-03-01T14:48:21" maxSheetId="8" userName="Namik A. Heydarov" r:id="rId31" minRId="213">
    <sheetIdMap count="7">
      <sheetId val="1"/>
      <sheetId val="2"/>
      <sheetId val="3"/>
      <sheetId val="4"/>
      <sheetId val="5"/>
      <sheetId val="6"/>
      <sheetId val="7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" sId="2">
    <oc r="C6" t="inlineStr">
      <is>
        <t>09.07.14</t>
      </is>
    </oc>
    <nc r="C6" t="inlineStr">
      <is>
        <t>08.09.14</t>
      </is>
    </nc>
  </rcc>
  <rcc rId="94" sId="2" numFmtId="14">
    <oc r="C8">
      <v>0.23</v>
    </oc>
    <nc r="C8">
      <v>0.22</v>
    </nc>
  </rcc>
  <rcc rId="95" sId="2">
    <oc r="C12" t="inlineStr">
      <is>
        <t>09.08.14</t>
      </is>
    </oc>
    <nc r="C12" t="inlineStr">
      <is>
        <t>08.10.14</t>
      </is>
    </nc>
  </rcc>
  <rcc rId="96" sId="2">
    <oc r="C13" t="inlineStr">
      <is>
        <t>09.08.17</t>
      </is>
    </oc>
    <nc r="C13" t="inlineStr">
      <is>
        <t>08.09.17</t>
      </is>
    </nc>
  </rcc>
  <rcc rId="97" sId="2" numFmtId="14">
    <oc r="C15">
      <v>0.2105263157894737</v>
    </oc>
    <nc r="C15">
      <v>0.10112359550561792</v>
    </nc>
  </rcc>
  <rcc rId="98" sId="2" numFmtId="4">
    <oc r="C21">
      <v>11400</v>
    </oc>
    <nc r="C21">
      <v>13350</v>
    </nc>
  </rcc>
  <rcc rId="99" sId="2" numFmtId="4">
    <oc r="C30">
      <v>57</v>
    </oc>
    <nc r="C30">
      <v>66.75</v>
    </nc>
  </rcc>
  <rcc rId="100" sId="2">
    <nc r="C51" t="inlineStr">
      <is>
        <t>Asəf</t>
      </is>
    </nc>
  </rcc>
  <rcc rId="101" sId="2">
    <nc r="C52" t="inlineStr">
      <is>
        <t>Nağıyev</t>
      </is>
    </nc>
  </rcc>
  <rcc rId="102" sId="2">
    <nc r="C53" t="inlineStr">
      <is>
        <t>İsabala</t>
      </is>
    </nc>
  </rcc>
  <rcc rId="103" sId="2">
    <oc r="C5" t="inlineStr">
      <is>
        <t>S-017/14</t>
      </is>
    </oc>
    <nc r="C5" t="inlineStr">
      <is>
        <t>S-022/14</t>
      </is>
    </nc>
  </rcc>
  <rdn rId="0" localSheetId="3" customView="1" name="Z_C56ABC15_C776_4280_9985_F20AC3F66C8A_.wvu.PrintArea" hidden="1" oldHidden="1">
    <formula>'Mirror for payments'!$A$1:$H$71</formula>
  </rdn>
  <rdn rId="0" localSheetId="3" customView="1" name="Z_C56ABC15_C776_4280_9985_F20AC3F66C8A_.wvu.Rows" hidden="1" oldHidden="1">
    <formula>'Mirror for payments'!$12:$12,'Mirror for payments'!$21:$21</formula>
  </rdn>
  <rdn rId="0" localSheetId="4" customView="1" name="Z_C56ABC15_C776_4280_9985_F20AC3F66C8A_.wvu.PrintArea" hidden="1" oldHidden="1">
    <formula>'AZN only'!$A$1:$H$120</formula>
  </rdn>
  <rdn rId="0" localSheetId="4" customView="1" name="Z_C56ABC15_C776_4280_9985_F20AC3F66C8A_.wvu.Rows" hidden="1" oldHidden="1">
    <formula>'AZN only'!$17:$17,'AZN only'!$21:$21</formula>
  </rdn>
  <rdn rId="0" localSheetId="7" customView="1" name="Z_C56ABC15_C776_4280_9985_F20AC3F66C8A_.wvu.PrintArea" hidden="1" oldHidden="1">
    <formula>Languages!$A$1:$D$148</formula>
  </rdn>
  <rcv guid="{C56ABC15-C776-4280-9985-F20AC3F66C8A}" action="add"/>
</revisions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9" sId="3">
    <oc r="C61" t="inlineStr">
      <is>
        <t>"AQLizinq" QSC</t>
      </is>
    </oc>
    <nc r="C61" t="inlineStr">
      <is>
        <t>"AGLizinq" QSC</t>
      </is>
    </nc>
  </rcc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0" sId="2">
    <oc r="C5" t="inlineStr">
      <is>
        <t>S-022/14</t>
      </is>
    </oc>
    <nc r="C5" t="inlineStr">
      <is>
        <t>S-032/14</t>
      </is>
    </nc>
  </rcc>
  <rcc rId="111" sId="2">
    <oc r="C6" t="inlineStr">
      <is>
        <t>08.09.14</t>
      </is>
    </oc>
    <nc r="C6" t="inlineStr">
      <is>
        <t>31.10.14</t>
      </is>
    </nc>
  </rcc>
  <rcc rId="112" sId="2">
    <oc r="C12" t="inlineStr">
      <is>
        <t>08.10.14</t>
      </is>
    </oc>
    <nc r="C12" t="inlineStr">
      <is>
        <t>31.11.14</t>
      </is>
    </nc>
  </rcc>
  <rcc rId="113" sId="2">
    <oc r="C13" t="inlineStr">
      <is>
        <t>08.09.17</t>
      </is>
    </oc>
    <nc r="C13" t="inlineStr">
      <is>
        <t>31.10.17</t>
      </is>
    </nc>
  </rcc>
  <rcc rId="114" sId="2" numFmtId="14">
    <oc r="C15">
      <v>0.10112359550561792</v>
    </oc>
    <nc r="C15">
      <v>0</v>
    </nc>
  </rcc>
  <rcc rId="115" sId="2" numFmtId="4">
    <oc r="C21">
      <v>13350</v>
    </oc>
    <nc r="C21">
      <v>35400</v>
    </nc>
  </rcc>
  <rcc rId="116" sId="2" numFmtId="4">
    <oc r="C30">
      <v>66.75</v>
    </oc>
    <nc r="C30">
      <v>1594.5</v>
    </nc>
  </rcc>
  <rcc rId="117" sId="2">
    <oc r="C51" t="inlineStr">
      <is>
        <t>Asəf</t>
      </is>
    </oc>
    <nc r="C51" t="inlineStr">
      <is>
        <t>Rameş</t>
      </is>
    </nc>
  </rcc>
  <rcc rId="118" sId="2">
    <oc r="C52" t="inlineStr">
      <is>
        <t>Nağıyev</t>
      </is>
    </oc>
    <nc r="C52" t="inlineStr">
      <is>
        <t>Bayramov</t>
      </is>
    </nc>
  </rcc>
  <rcc rId="119" sId="2">
    <oc r="C53" t="inlineStr">
      <is>
        <t>İsabala</t>
      </is>
    </oc>
    <nc r="C53" t="inlineStr">
      <is>
        <t>Mirzəhəsən</t>
      </is>
    </nc>
  </rcc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0" sId="2">
    <oc r="C5" t="inlineStr">
      <is>
        <t>S-032/14</t>
      </is>
    </oc>
    <nc r="C5" t="inlineStr">
      <is>
        <t>S-034/14</t>
      </is>
    </nc>
  </rcc>
  <rcc rId="121" sId="2">
    <oc r="C6" t="inlineStr">
      <is>
        <t>31.10.14</t>
      </is>
    </oc>
    <nc r="C6" t="inlineStr">
      <is>
        <t>05.11.14</t>
      </is>
    </nc>
  </rcc>
  <rcc rId="122" sId="2" numFmtId="4">
    <oc r="C21">
      <v>35400</v>
    </oc>
    <nc r="C21">
      <v>30000</v>
    </nc>
  </rcc>
  <rcc rId="123" sId="2" numFmtId="4">
    <oc r="C30">
      <v>1594.5</v>
    </oc>
    <nc r="C30">
      <v>1504.5</v>
    </nc>
  </rcc>
  <rcc rId="124" sId="2">
    <oc r="C51" t="inlineStr">
      <is>
        <t>Rameş</t>
      </is>
    </oc>
    <nc r="C51" t="inlineStr">
      <is>
        <t>Orxan</t>
      </is>
    </nc>
  </rcc>
  <rcc rId="125" sId="2">
    <oc r="C52" t="inlineStr">
      <is>
        <t>Bayramov</t>
      </is>
    </oc>
    <nc r="C52" t="inlineStr">
      <is>
        <t>Kərimov</t>
      </is>
    </nc>
  </rcc>
  <rcc rId="126" sId="2">
    <oc r="C53" t="inlineStr">
      <is>
        <t>Mirzəhəsən</t>
      </is>
    </oc>
    <nc r="C53" t="inlineStr">
      <is>
        <t>Qüdrət</t>
      </is>
    </nc>
  </rcc>
  <rcc rId="127" sId="2">
    <oc r="C12" t="inlineStr">
      <is>
        <t>31.11.14</t>
      </is>
    </oc>
    <nc r="C12" t="inlineStr">
      <is>
        <t>05.12.14</t>
      </is>
    </nc>
  </rcc>
  <rcc rId="128" sId="2">
    <oc r="C13" t="inlineStr">
      <is>
        <t>31.10.17</t>
      </is>
    </oc>
    <nc r="C13" t="inlineStr">
      <is>
        <t>05.11.17</t>
      </is>
    </nc>
  </rcc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" sId="2">
    <oc r="C5" t="inlineStr">
      <is>
        <t>S-034/14</t>
      </is>
    </oc>
    <nc r="C5" t="inlineStr">
      <is>
        <t>S-035/14</t>
      </is>
    </nc>
  </rcc>
  <rcc rId="130" sId="2">
    <oc r="C6" t="inlineStr">
      <is>
        <t>05.11.14</t>
      </is>
    </oc>
    <nc r="C6" t="inlineStr">
      <is>
        <t>12.11.14</t>
      </is>
    </nc>
  </rcc>
  <rcc rId="131" sId="2">
    <oc r="C12" t="inlineStr">
      <is>
        <t>05.12.14</t>
      </is>
    </oc>
    <nc r="C12" t="inlineStr">
      <is>
        <t>12.01.15</t>
      </is>
    </nc>
  </rcc>
  <rcc rId="132" sId="2">
    <oc r="C13" t="inlineStr">
      <is>
        <t>05.11.17</t>
      </is>
    </oc>
    <nc r="C13" t="inlineStr">
      <is>
        <t>12.01.18</t>
      </is>
    </nc>
  </rcc>
  <rcc rId="133" sId="2" numFmtId="4">
    <oc r="C21">
      <v>30000</v>
    </oc>
    <nc r="C21">
      <v>56500</v>
    </nc>
  </rcc>
  <rcc rId="134" sId="2" numFmtId="4">
    <oc r="C30">
      <v>1504.5</v>
    </oc>
    <nc r="C30">
      <v>2205</v>
    </nc>
  </rcc>
  <rcc rId="135" sId="2">
    <oc r="C51" t="inlineStr">
      <is>
        <t>Orxan</t>
      </is>
    </oc>
    <nc r="C51" t="inlineStr">
      <is>
        <t>Fərid</t>
      </is>
    </nc>
  </rcc>
  <rcc rId="136" sId="2">
    <oc r="C52" t="inlineStr">
      <is>
        <t>Kərimov</t>
      </is>
    </oc>
    <nc r="C52" t="inlineStr">
      <is>
        <t>Hüseynov</t>
      </is>
    </nc>
  </rcc>
  <rcc rId="137" sId="2">
    <oc r="C53" t="inlineStr">
      <is>
        <t>Qüdrət</t>
      </is>
    </oc>
    <nc r="C53" t="inlineStr">
      <is>
        <t>İzzətoviç</t>
      </is>
    </nc>
  </rcc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8" sId="2">
    <oc r="C5" t="inlineStr">
      <is>
        <t>S-035/14</t>
      </is>
    </oc>
    <nc r="C5" t="inlineStr">
      <is>
        <t>S-038/14</t>
      </is>
    </nc>
  </rcc>
  <rcc rId="139" sId="2">
    <oc r="C6" t="inlineStr">
      <is>
        <t>12.11.14</t>
      </is>
    </oc>
    <nc r="C6" t="inlineStr">
      <is>
        <t>19.11.14</t>
      </is>
    </nc>
  </rcc>
  <rcc rId="140" sId="2" numFmtId="4">
    <oc r="C21">
      <v>56500</v>
    </oc>
    <nc r="C21">
      <v>18500</v>
    </nc>
  </rcc>
  <rcc rId="141" sId="2" numFmtId="4">
    <oc r="C30">
      <v>2205</v>
    </oc>
    <nc r="C30">
      <v>819</v>
    </nc>
  </rcc>
  <rcc rId="142" sId="2">
    <oc r="C51" t="inlineStr">
      <is>
        <t>Fərid</t>
      </is>
    </oc>
    <nc r="C51" t="inlineStr">
      <is>
        <t>Sultan</t>
      </is>
    </nc>
  </rcc>
  <rcc rId="143" sId="2">
    <oc r="C52" t="inlineStr">
      <is>
        <t>Hüseynov</t>
      </is>
    </oc>
    <nc r="C52" t="inlineStr">
      <is>
        <t>Əli</t>
      </is>
    </nc>
  </rcc>
  <rcc rId="144" sId="2">
    <oc r="C53" t="inlineStr">
      <is>
        <t>İzzətoviç</t>
      </is>
    </oc>
    <nc r="C53" t="inlineStr">
      <is>
        <t>Akif</t>
      </is>
    </nc>
  </rcc>
  <rcc rId="145" sId="2">
    <oc r="C12" t="inlineStr">
      <is>
        <t>12.01.15</t>
      </is>
    </oc>
    <nc r="C12" t="inlineStr">
      <is>
        <t>19.12.14</t>
      </is>
    </nc>
  </rcc>
  <rcc rId="146" sId="2">
    <oc r="C13" t="inlineStr">
      <is>
        <t>12.01.18</t>
      </is>
    </oc>
    <nc r="C13" t="inlineStr">
      <is>
        <t>19.11.17</t>
      </is>
    </nc>
  </rcc>
  <rdn rId="0" localSheetId="3" customView="1" name="Z_5171270A_F9AF_4D41_A7C6_60AFF57C569E_.wvu.PrintArea" hidden="1" oldHidden="1">
    <formula>'Mirror for payments'!$A$1:$H$71</formula>
  </rdn>
  <rdn rId="0" localSheetId="3" customView="1" name="Z_5171270A_F9AF_4D41_A7C6_60AFF57C569E_.wvu.Rows" hidden="1" oldHidden="1">
    <formula>'Mirror for payments'!$12:$12,'Mirror for payments'!$21:$21</formula>
  </rdn>
  <rdn rId="0" localSheetId="4" customView="1" name="Z_5171270A_F9AF_4D41_A7C6_60AFF57C569E_.wvu.PrintArea" hidden="1" oldHidden="1">
    <formula>'AZN only'!$A$1:$H$120</formula>
  </rdn>
  <rdn rId="0" localSheetId="4" customView="1" name="Z_5171270A_F9AF_4D41_A7C6_60AFF57C569E_.wvu.Rows" hidden="1" oldHidden="1">
    <formula>'AZN only'!$17:$17,'AZN only'!$21:$21</formula>
  </rdn>
  <rdn rId="0" localSheetId="7" customView="1" name="Z_5171270A_F9AF_4D41_A7C6_60AFF57C569E_.wvu.PrintArea" hidden="1" oldHidden="1">
    <formula>Languages!$A$1:$D$148</formula>
  </rdn>
  <rcv guid="{5171270A-F9AF-4D41-A7C6-60AFF57C569E}" action="add"/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2" sId="2">
    <oc r="C5" t="inlineStr">
      <is>
        <t>S-038/14</t>
      </is>
    </oc>
    <nc r="C5" t="inlineStr">
      <is>
        <t>S-039/14</t>
      </is>
    </nc>
  </rcc>
  <rcc rId="153" sId="2">
    <oc r="C6" t="inlineStr">
      <is>
        <t>19.11.14</t>
      </is>
    </oc>
    <nc r="C6" t="inlineStr">
      <is>
        <t>21.11.14</t>
      </is>
    </nc>
  </rcc>
  <rcc rId="154" sId="2" numFmtId="4">
    <oc r="C21">
      <v>18500</v>
    </oc>
    <nc r="C21">
      <v>43000</v>
    </nc>
  </rcc>
  <rcc rId="155" sId="2" numFmtId="4">
    <oc r="C30">
      <v>819</v>
    </oc>
    <nc r="C30">
      <v>1575</v>
    </nc>
  </rcc>
  <rcc rId="156" sId="2">
    <oc r="C51" t="inlineStr">
      <is>
        <t>Sultan</t>
      </is>
    </oc>
    <nc r="C51" t="inlineStr">
      <is>
        <t>Çingiz</t>
      </is>
    </nc>
  </rcc>
  <rcc rId="157" sId="2">
    <oc r="C52" t="inlineStr">
      <is>
        <t>Əli</t>
      </is>
    </oc>
    <nc r="C52" t="inlineStr">
      <is>
        <t>Əhmədov</t>
      </is>
    </nc>
  </rcc>
  <rcc rId="158" sId="2">
    <oc r="C53" t="inlineStr">
      <is>
        <t>Akif</t>
      </is>
    </oc>
    <nc r="C53" t="inlineStr">
      <is>
        <t>Səfər</t>
      </is>
    </nc>
  </rcc>
  <rcc rId="159" sId="2">
    <oc r="C12" t="inlineStr">
      <is>
        <t>19.12.14</t>
      </is>
    </oc>
    <nc r="C12" t="inlineStr">
      <is>
        <t>21.12.14</t>
      </is>
    </nc>
  </rcc>
  <rcc rId="160" sId="2">
    <oc r="C13" t="inlineStr">
      <is>
        <t>19.11.17</t>
      </is>
    </oc>
    <nc r="C13" t="inlineStr">
      <is>
        <t>21.11.17</t>
      </is>
    </nc>
  </rcc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30">
    <dxf>
      <fill>
        <patternFill>
          <bgColor rgb="FFFFFF00"/>
        </patternFill>
      </fill>
    </dxf>
  </rfmt>
  <rfmt sheetId="2" sqref="D30">
    <dxf>
      <fill>
        <patternFill patternType="none">
          <bgColor auto="1"/>
        </patternFill>
      </fill>
    </dxf>
  </rfmt>
  <rfmt sheetId="2" sqref="D30">
    <dxf>
      <fill>
        <patternFill patternType="solid">
          <bgColor theme="0" tint="-0.249977111117893"/>
        </patternFill>
      </fill>
    </dxf>
  </rfmt>
  <rfmt sheetId="2" sqref="D30" start="0" length="2147483647">
    <dxf>
      <font>
        <color rgb="FFFFFF00"/>
      </font>
    </dxf>
  </rfmt>
  <rcc rId="46" sId="2">
    <oc r="D30" t="inlineStr">
      <is>
        <t xml:space="preserve"> - Sigorta + Nağdılaşdırma</t>
      </is>
    </oc>
    <nc r="D30" t="inlineStr">
      <is>
        <t xml:space="preserve"> &lt;-&gt; Sigorta + Nağdılaşdırma</t>
      </is>
    </nc>
  </rcc>
  <rcv guid="{13FA8F4C-0951-4875-9D44-4989C5CEBB01}" action="delete"/>
  <rdn rId="0" localSheetId="3" customView="1" name="Z_13FA8F4C_0951_4875_9D44_4989C5CEBB01_.wvu.PrintArea" hidden="1" oldHidden="1">
    <formula>'Mirror for payments'!$A$1:$I$71</formula>
    <oldFormula>'Mirror for payments'!$A$1:$I$71</oldFormula>
  </rdn>
  <rdn rId="0" localSheetId="3" customView="1" name="Z_13FA8F4C_0951_4875_9D44_4989C5CEBB01_.wvu.Rows" hidden="1" oldHidden="1">
    <formula>'Mirror for payments'!$12:$12,'Mirror for payments'!$21:$21</formula>
    <oldFormula>'Mirror for payments'!$12:$12,'Mirror for payments'!$21:$21</oldFormula>
  </rdn>
  <rdn rId="0" localSheetId="4" customView="1" name="Z_13FA8F4C_0951_4875_9D44_4989C5CEBB01_.wvu.PrintArea" hidden="1" oldHidden="1">
    <formula>'AZN only'!$A$1:$H$120</formula>
    <oldFormula>'AZN only'!$A$1:$H$120</oldFormula>
  </rdn>
  <rdn rId="0" localSheetId="4" customView="1" name="Z_13FA8F4C_0951_4875_9D44_4989C5CEBB01_.wvu.Rows" hidden="1" oldHidden="1">
    <formula>'AZN only'!$17:$17,'AZN only'!$21:$21</formula>
    <oldFormula>'AZN only'!$17:$17,'AZN only'!$21:$21</oldFormula>
  </rdn>
  <rdn rId="0" localSheetId="7" customView="1" name="Z_13FA8F4C_0951_4875_9D44_4989C5CEBB01_.wvu.PrintArea" hidden="1" oldHidden="1">
    <formula>Languages!$A$1:$D$148</formula>
    <oldFormula>Languages!$A$1:$D$148</oldFormula>
  </rdn>
  <rcv guid="{13FA8F4C-0951-4875-9D44-4989C5CEBB01}" action="add"/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" sId="3">
    <oc r="C61">
      <f>IF(E$14=Dates!A32,Languages!$B$86,IF(E$14=Dates!A33,Languages!$B$90,IF(E$14=Dates!A34,"_____________________",IF(E$14=Dates!A36,Languages!$B$88,IF(E$14=Dates!A37,Languages!$B$81,IF(E$14&gt;=Dates!A40,H60,""))))))</f>
    </oc>
    <nc r="C61" t="inlineStr">
      <is>
        <t>"AQLizinq" QSC</t>
      </is>
    </nc>
  </rcc>
  <rcc rId="53" sId="3">
    <oc r="C64" t="inlineStr">
      <is>
        <t>Baxşəliyev S.A</t>
      </is>
    </oc>
    <nc r="C64" t="inlineStr">
      <is>
        <t>İ.A.Əsədov</t>
      </is>
    </nc>
  </rcc>
  <rcv guid="{13FA8F4C-0951-4875-9D44-4989C5CEBB01}" action="delete"/>
  <rdn rId="0" localSheetId="3" customView="1" name="Z_13FA8F4C_0951_4875_9D44_4989C5CEBB01_.wvu.PrintArea" hidden="1" oldHidden="1">
    <formula>'Mirror for payments'!$A$1:$I$71</formula>
    <oldFormula>'Mirror for payments'!$A$1:$I$71</oldFormula>
  </rdn>
  <rdn rId="0" localSheetId="3" customView="1" name="Z_13FA8F4C_0951_4875_9D44_4989C5CEBB01_.wvu.Rows" hidden="1" oldHidden="1">
    <formula>'Mirror for payments'!$12:$12,'Mirror for payments'!$21:$21</formula>
    <oldFormula>'Mirror for payments'!$12:$12,'Mirror for payments'!$21:$21</oldFormula>
  </rdn>
  <rdn rId="0" localSheetId="4" customView="1" name="Z_13FA8F4C_0951_4875_9D44_4989C5CEBB01_.wvu.PrintArea" hidden="1" oldHidden="1">
    <formula>'AZN only'!$A$1:$H$120</formula>
    <oldFormula>'AZN only'!$A$1:$H$120</oldFormula>
  </rdn>
  <rdn rId="0" localSheetId="4" customView="1" name="Z_13FA8F4C_0951_4875_9D44_4989C5CEBB01_.wvu.Rows" hidden="1" oldHidden="1">
    <formula>'AZN only'!$17:$17,'AZN only'!$21:$21</formula>
    <oldFormula>'AZN only'!$17:$17,'AZN only'!$21:$21</oldFormula>
  </rdn>
  <rdn rId="0" localSheetId="7" customView="1" name="Z_13FA8F4C_0951_4875_9D44_4989C5CEBB01_.wvu.PrintArea" hidden="1" oldHidden="1">
    <formula>Languages!$A$1:$D$148</formula>
    <oldFormula>Languages!$A$1:$D$148</oldFormula>
  </rdn>
  <rcv guid="{13FA8F4C-0951-4875-9D44-4989C5CEBB01}" action="add"/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" sId="3">
    <oc r="E20">
      <f>Load!E20*Load!C16</f>
    </oc>
    <nc r="E20">
      <f>E8*Load!C16</f>
    </nc>
  </rcc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" sId="2">
    <oc r="C30">
      <f>E20*0.5%+945</f>
    </oc>
    <nc r="C30">
      <f>E20*0.5%</f>
    </nc>
  </rcc>
</revisions>
</file>

<file path=xl/revisions/revisionLog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" sId="2">
    <oc r="C5" t="inlineStr">
      <is>
        <t>S-007/14</t>
      </is>
    </oc>
    <nc r="C5" t="inlineStr">
      <is>
        <t/>
      </is>
    </nc>
  </rcc>
  <rcc rId="62" sId="2">
    <nc r="C10">
      <v>0</v>
    </nc>
  </rcc>
  <rcc rId="63" sId="2">
    <oc r="C13" t="inlineStr">
      <is>
        <t>09.07.17</t>
      </is>
    </oc>
    <nc r="C13" t="inlineStr">
      <is>
        <t>09.08.17</t>
      </is>
    </nc>
  </rcc>
  <rcc rId="64" sId="2" numFmtId="14">
    <oc r="C15">
      <v>0</v>
    </oc>
    <nc r="C15">
      <v>0.2105263157894737</v>
    </nc>
  </rcc>
  <rcc rId="65" sId="2" numFmtId="13">
    <oc r="C16">
      <v>0.04</v>
    </oc>
    <nc r="C16">
      <v>0.03</v>
    </nc>
  </rcc>
  <rcc rId="66" sId="2" numFmtId="4">
    <oc r="C21">
      <v>25000</v>
    </oc>
    <nc r="C21">
      <v>11400</v>
    </nc>
  </rcc>
  <rcc rId="67" sId="2" numFmtId="4">
    <oc r="C30">
      <f>E20*0.5%</f>
    </oc>
    <nc r="C30">
      <v>57</v>
    </nc>
  </rcc>
  <rcc rId="68" sId="2">
    <oc r="C51" t="inlineStr">
      <is>
        <t>Elxan</t>
      </is>
    </oc>
    <nc r="C51"/>
  </rcc>
  <rcc rId="69" sId="2">
    <oc r="C52" t="inlineStr">
      <is>
        <t>Kərimov</t>
      </is>
    </oc>
    <nc r="C52"/>
  </rcc>
  <rcc rId="70" sId="2">
    <oc r="C53" t="inlineStr">
      <is>
        <t>Zülfəli</t>
      </is>
    </oc>
    <nc r="C53"/>
  </rcc>
  <rcv guid="{13FA8F4C-0951-4875-9D44-4989C5CEBB01}" action="delete"/>
  <rdn rId="0" localSheetId="3" customView="1" name="Z_13FA8F4C_0951_4875_9D44_4989C5CEBB01_.wvu.PrintArea" hidden="1" oldHidden="1">
    <formula>'Mirror for payments'!$A$1:$I$71</formula>
    <oldFormula>'Mirror for payments'!$A$1:$I$71</oldFormula>
  </rdn>
  <rdn rId="0" localSheetId="3" customView="1" name="Z_13FA8F4C_0951_4875_9D44_4989C5CEBB01_.wvu.Rows" hidden="1" oldHidden="1">
    <formula>'Mirror for payments'!$12:$12,'Mirror for payments'!$21:$21</formula>
    <oldFormula>'Mirror for payments'!$12:$12,'Mirror for payments'!$21:$21</oldFormula>
  </rdn>
  <rdn rId="0" localSheetId="4" customView="1" name="Z_13FA8F4C_0951_4875_9D44_4989C5CEBB01_.wvu.PrintArea" hidden="1" oldHidden="1">
    <formula>'AZN only'!$A$1:$H$120</formula>
    <oldFormula>'AZN only'!$A$1:$H$120</oldFormula>
  </rdn>
  <rdn rId="0" localSheetId="4" customView="1" name="Z_13FA8F4C_0951_4875_9D44_4989C5CEBB01_.wvu.Rows" hidden="1" oldHidden="1">
    <formula>'AZN only'!$17:$17,'AZN only'!$21:$21</formula>
    <oldFormula>'AZN only'!$17:$17,'AZN only'!$21:$21</oldFormula>
  </rdn>
  <rdn rId="0" localSheetId="7" customView="1" name="Z_13FA8F4C_0951_4875_9D44_4989C5CEBB01_.wvu.PrintArea" hidden="1" oldHidden="1">
    <formula>Languages!$A$1:$D$148</formula>
    <oldFormula>Languages!$A$1:$D$148</oldFormula>
  </rdn>
  <rcv guid="{13FA8F4C-0951-4875-9D44-4989C5CEBB01}" action="add"/>
</revisions>
</file>

<file path=xl/revisions/revisionLog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6" sId="3">
    <oc r="A1">
      <f>Languages!B122</f>
    </oc>
    <nc r="A1">
      <f>Languages!B122&amp;"        "&amp;Languages!B124</f>
    </nc>
  </rcc>
  <rcc rId="77" sId="3">
    <oc r="E1">
      <f>Languages!B124</f>
    </oc>
    <nc r="E1"/>
  </rcc>
  <rfmt sheetId="3" sqref="A1:XFD1" start="0" length="2147483647">
    <dxf>
      <font>
        <name val="Times New Roman"/>
        <scheme val="none"/>
      </font>
    </dxf>
  </rfmt>
  <rfmt sheetId="3" sqref="A2:XFD17" start="0" length="2147483647">
    <dxf>
      <font>
        <name val="Times New Roman"/>
        <scheme val="none"/>
      </font>
    </dxf>
  </rfmt>
  <rfmt sheetId="3" sqref="A1:XFD1048576" start="0" length="2147483647">
    <dxf>
      <font>
        <name val="Times New Roman"/>
        <scheme val="none"/>
      </font>
    </dxf>
  </rfmt>
  <rfmt sheetId="3" sqref="A1:XFD1048576" start="0" length="2147483647">
    <dxf>
      <font/>
    </dxf>
  </rfmt>
  <rcc rId="78" sId="3">
    <oc r="H63">
      <f>IF(E$14&gt;=Dates!A42,SUM(C63-F63-G63),IF(E$14=Dates!A35,Languages!$B$84,IF(E$14=Dates!A36,"_____________________",IF(E$14=Dates!A39,Languages!$B$82,IF(E$14=Dates!A38,Languages!$B$83,IF(E$14=Dates!A34,Languages!$B$87,""))))))</f>
    </oc>
    <nc r="H63">
      <f>IF(E$14&gt;=Dates!A42,SUM(C63-F63-G63),IF(E$14=Dates!A35,Languages!$B$84,IF(E$14=Dates!A36,"_________________",IF(E$14=Dates!A39,Languages!$B$82,IF(E$14=Dates!A38,Languages!$B$83,IF(E$14=Dates!A34,Languages!$B$87,""))))))</f>
    </nc>
  </rcc>
  <rrc rId="79" sId="3" ref="I1:I1048576" action="deleteCol">
    <undo index="0" exp="area" ref3D="1" dr="$A$1:$I$71" dn="Область_печати" sId="3"/>
    <undo index="2" exp="area" ref3D="1" dr="$A$21:$XFD$21" dn="Z_AD887635_810A_407C_BA16_5AFA4A800B29_.wvu.Rows" sId="3"/>
    <undo index="1" exp="area" ref3D="1" dr="$A$12:$XFD$13" dn="Z_AD887635_810A_407C_BA16_5AFA4A800B29_.wvu.Rows" sId="3"/>
    <undo index="0" exp="area" ref3D="1" dr="$A$1:$I$71" dn="Z_AD887635_810A_407C_BA16_5AFA4A800B29_.wvu.PrintArea" sId="3"/>
    <undo index="2" exp="area" ref3D="1" dr="$A$21:$XFD$21" dn="Z_77B961DF_431A_4785_A57B_FF1BA0586569_.wvu.Rows" sId="3"/>
    <undo index="1" exp="area" ref3D="1" dr="$A$12:$XFD$13" dn="Z_77B961DF_431A_4785_A57B_FF1BA0586569_.wvu.Rows" sId="3"/>
    <undo index="0" exp="area" ref3D="1" dr="$A$1:$I$71" dn="Z_77B961DF_431A_4785_A57B_FF1BA0586569_.wvu.PrintArea" sId="3"/>
    <undo index="2" exp="area" ref3D="1" dr="$A$21:$XFD$21" dn="Z_13FA8F4C_0951_4875_9D44_4989C5CEBB01_.wvu.Rows" sId="3"/>
    <undo index="1" exp="area" ref3D="1" dr="$A$12:$XFD$12" dn="Z_13FA8F4C_0951_4875_9D44_4989C5CEBB01_.wvu.Rows" sId="3"/>
    <undo index="0" exp="area" ref3D="1" dr="$A$1:$I$71" dn="Z_13FA8F4C_0951_4875_9D44_4989C5CEBB01_.wvu.PrintArea" sId="3"/>
    <rfmt sheetId="3" xfDxf="1" sqref="I1:I1048576" start="0" length="0">
      <dxf>
        <font>
          <name val="Times New Roman"/>
          <scheme val="none"/>
        </font>
        <fill>
          <patternFill patternType="solid">
            <bgColor indexed="9"/>
          </patternFill>
        </fill>
      </dxf>
    </rfmt>
    <rfmt sheetId="3" sqref="I83" start="0" length="0">
      <dxf/>
    </rfmt>
    <rfmt sheetId="3" sqref="I84" start="0" length="0">
      <dxf/>
    </rfmt>
    <rfmt sheetId="3" sqref="I85" start="0" length="0">
      <dxf/>
    </rfmt>
    <rfmt sheetId="3" sqref="I86" start="0" length="0">
      <dxf/>
    </rfmt>
    <rfmt sheetId="3" sqref="I87" start="0" length="0">
      <dxf/>
    </rfmt>
    <rfmt sheetId="3" sqref="I88" start="0" length="0">
      <dxf/>
    </rfmt>
    <rfmt sheetId="3" sqref="I89" start="0" length="0">
      <dxf/>
    </rfmt>
    <rfmt sheetId="3" sqref="I90" start="0" length="0">
      <dxf/>
    </rfmt>
    <rfmt sheetId="3" sqref="I91" start="0" length="0">
      <dxf/>
    </rfmt>
    <rfmt sheetId="3" sqref="I92" start="0" length="0">
      <dxf/>
    </rfmt>
    <rfmt sheetId="3" sqref="I93" start="0" length="0">
      <dxf/>
    </rfmt>
  </rrc>
  <rfmt sheetId="3" sqref="A59:XFD67" start="0" length="2147483647">
    <dxf>
      <font>
        <b/>
      </font>
    </dxf>
  </rfmt>
  <rcv guid="{13FA8F4C-0951-4875-9D44-4989C5CEBB01}" action="delete"/>
  <rdn rId="0" localSheetId="3" customView="1" name="Z_13FA8F4C_0951_4875_9D44_4989C5CEBB01_.wvu.PrintArea" hidden="1" oldHidden="1">
    <formula>'Mirror for payments'!$A$1:$H$71</formula>
    <oldFormula>'Mirror for payments'!$A$1:$H$71</oldFormula>
  </rdn>
  <rdn rId="0" localSheetId="3" customView="1" name="Z_13FA8F4C_0951_4875_9D44_4989C5CEBB01_.wvu.Rows" hidden="1" oldHidden="1">
    <formula>'Mirror for payments'!$12:$12,'Mirror for payments'!$21:$21</formula>
    <oldFormula>'Mirror for payments'!$12:$12,'Mirror for payments'!$21:$21</oldFormula>
  </rdn>
  <rdn rId="0" localSheetId="4" customView="1" name="Z_13FA8F4C_0951_4875_9D44_4989C5CEBB01_.wvu.PrintArea" hidden="1" oldHidden="1">
    <formula>'AZN only'!$A$1:$H$120</formula>
    <oldFormula>'AZN only'!$A$1:$H$120</oldFormula>
  </rdn>
  <rdn rId="0" localSheetId="4" customView="1" name="Z_13FA8F4C_0951_4875_9D44_4989C5CEBB01_.wvu.Rows" hidden="1" oldHidden="1">
    <formula>'AZN only'!$17:$17,'AZN only'!$21:$21</formula>
    <oldFormula>'AZN only'!$17:$17,'AZN only'!$21:$21</oldFormula>
  </rdn>
  <rdn rId="0" localSheetId="7" customView="1" name="Z_13FA8F4C_0951_4875_9D44_4989C5CEBB01_.wvu.PrintArea" hidden="1" oldHidden="1">
    <formula>Languages!$A$1:$D$148</formula>
    <oldFormula>Languages!$A$1:$D$148</oldFormula>
  </rdn>
  <rcv guid="{13FA8F4C-0951-4875-9D44-4989C5CEBB01}" action="add"/>
</revisions>
</file>

<file path=xl/revisions/revisionLog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" sId="7">
    <oc r="A123">
      <f>CONCATENATE("      L-", Load!C5, " saylı ",Load!C6, " tarixli daxili maliyyə lizinq müqaviləsinə Əlavə №3")</f>
    </oc>
    <nc r="A123">
      <f>CONCATENATE(Load!C5, " saylı ",Load!C6, " tarixli daxili maliyyə lizinq müqaviləsinə Əlavə №3")</f>
    </nc>
  </rcc>
  <rcc rId="86" sId="2">
    <oc r="C5" t="inlineStr">
      <is>
        <t/>
      </is>
    </oc>
    <nc r="C5" t="inlineStr">
      <is>
        <t>s-017/14</t>
      </is>
    </nc>
  </rcc>
</revisions>
</file>

<file path=xl/revisions/revisionLog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7" sId="2">
    <oc r="C5" t="inlineStr">
      <is>
        <t>s-017/14</t>
      </is>
    </oc>
    <nc r="C5" t="inlineStr">
      <is>
        <t>S-017/14</t>
      </is>
    </nc>
  </rcc>
</revisions>
</file>

<file path=xl/revisions/revisionLog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3FA8F4C-0951-4875-9D44-4989C5CEBB01}" action="delete"/>
  <rdn rId="0" localSheetId="3" customView="1" name="Z_13FA8F4C_0951_4875_9D44_4989C5CEBB01_.wvu.PrintArea" hidden="1" oldHidden="1">
    <formula>'Mirror for payments'!$A$1:$H$71</formula>
    <oldFormula>'Mirror for payments'!$A$1:$H$71</oldFormula>
  </rdn>
  <rdn rId="0" localSheetId="3" customView="1" name="Z_13FA8F4C_0951_4875_9D44_4989C5CEBB01_.wvu.Rows" hidden="1" oldHidden="1">
    <formula>'Mirror for payments'!$12:$12,'Mirror for payments'!$21:$21</formula>
    <oldFormula>'Mirror for payments'!$12:$12,'Mirror for payments'!$21:$21</oldFormula>
  </rdn>
  <rdn rId="0" localSheetId="4" customView="1" name="Z_13FA8F4C_0951_4875_9D44_4989C5CEBB01_.wvu.PrintArea" hidden="1" oldHidden="1">
    <formula>'AZN only'!$A$1:$H$120</formula>
    <oldFormula>'AZN only'!$A$1:$H$120</oldFormula>
  </rdn>
  <rdn rId="0" localSheetId="4" customView="1" name="Z_13FA8F4C_0951_4875_9D44_4989C5CEBB01_.wvu.Rows" hidden="1" oldHidden="1">
    <formula>'AZN only'!$17:$17,'AZN only'!$21:$21</formula>
    <oldFormula>'AZN only'!$17:$17,'AZN only'!$21:$21</oldFormula>
  </rdn>
  <rdn rId="0" localSheetId="7" customView="1" name="Z_13FA8F4C_0951_4875_9D44_4989C5CEBB01_.wvu.PrintArea" hidden="1" oldHidden="1">
    <formula>Languages!$A$1:$D$148</formula>
    <oldFormula>Languages!$A$1:$D$148</oldFormula>
  </rdn>
  <rcv guid="{13FA8F4C-0951-4875-9D44-4989C5CEBB01}" action="add"/>
</revisions>
</file>

<file path=xl/revisions/revisionLog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" sId="2">
    <oc r="C5" t="inlineStr">
      <is>
        <t>S-039/14</t>
      </is>
    </oc>
    <nc r="C5" t="inlineStr">
      <is>
        <t>S-040/14</t>
      </is>
    </nc>
  </rcc>
  <rcc rId="162" sId="2" numFmtId="4">
    <oc r="C21">
      <v>43000</v>
    </oc>
    <nc r="C21">
      <v>8300</v>
    </nc>
  </rcc>
  <rcc rId="163" sId="2" numFmtId="4">
    <oc r="C30">
      <v>1575</v>
    </oc>
    <nc r="C30">
      <v>261.45</v>
    </nc>
  </rcc>
  <rcc rId="164" sId="2">
    <oc r="C51" t="inlineStr">
      <is>
        <t>Çingiz</t>
      </is>
    </oc>
    <nc r="C51" t="inlineStr">
      <is>
        <t>Nail</t>
      </is>
    </nc>
  </rcc>
  <rcc rId="165" sId="2">
    <oc r="C52" t="inlineStr">
      <is>
        <t>Əhmədov</t>
      </is>
    </oc>
    <nc r="C52" t="inlineStr">
      <is>
        <t>Şirəliyev</t>
      </is>
    </nc>
  </rcc>
  <rcc rId="166" sId="2">
    <oc r="C53" t="inlineStr">
      <is>
        <t>Səfər</t>
      </is>
    </oc>
    <nc r="C53" t="inlineStr">
      <is>
        <t>Şirəli</t>
      </is>
    </nc>
  </rcc>
</revisions>
</file>

<file path=xl/revisions/revisionLog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7" sId="2">
    <oc r="C5" t="inlineStr">
      <is>
        <t>S-040/14</t>
      </is>
    </oc>
    <nc r="C5" t="inlineStr">
      <is>
        <t>S-041/14</t>
      </is>
    </nc>
  </rcc>
  <rcc rId="168" sId="2" numFmtId="4">
    <oc r="C21">
      <v>8300</v>
    </oc>
    <nc r="C21">
      <v>24800</v>
    </nc>
  </rcc>
  <rcc rId="169" sId="2" numFmtId="4">
    <oc r="C30">
      <v>261.45</v>
    </oc>
    <nc r="C30">
      <v>124</v>
    </nc>
  </rcc>
  <rcc rId="170" sId="2">
    <oc r="C51" t="inlineStr">
      <is>
        <t>Nail</t>
      </is>
    </oc>
    <nc r="C51" t="inlineStr">
      <is>
        <t>Elşən</t>
      </is>
    </nc>
  </rcc>
  <rcc rId="171" sId="2">
    <oc r="C52" t="inlineStr">
      <is>
        <t>Şirəliyev</t>
      </is>
    </oc>
    <nc r="C52" t="inlineStr">
      <is>
        <t>Şirinov</t>
      </is>
    </nc>
  </rcc>
  <rcc rId="172" sId="2">
    <oc r="C53" t="inlineStr">
      <is>
        <t>Şirəli</t>
      </is>
    </oc>
    <nc r="C53" t="inlineStr">
      <is>
        <t>Telman</t>
      </is>
    </nc>
  </rcc>
</revisions>
</file>

<file path=xl/revisions/revisionLog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3" sId="2">
    <oc r="C5" t="inlineStr">
      <is>
        <t>S-041/14</t>
      </is>
    </oc>
    <nc r="C5" t="inlineStr">
      <is>
        <t>S-042/14</t>
      </is>
    </nc>
  </rcc>
  <rcc rId="174" sId="2">
    <oc r="C6" t="inlineStr">
      <is>
        <t>21.11.14</t>
      </is>
    </oc>
    <nc r="C6" t="inlineStr">
      <is>
        <t>02.12.14</t>
      </is>
    </nc>
  </rcc>
  <rcc rId="175" sId="2" numFmtId="4">
    <oc r="C21">
      <v>24800</v>
    </oc>
    <nc r="C21">
      <v>52000</v>
    </nc>
  </rcc>
  <rcc rId="176" sId="2" numFmtId="4">
    <oc r="C30">
      <v>124</v>
    </oc>
    <nc r="C30">
      <v>2205</v>
    </nc>
  </rcc>
  <rcc rId="177" sId="2">
    <oc r="C51" t="inlineStr">
      <is>
        <t>Elşən</t>
      </is>
    </oc>
    <nc r="C51" t="inlineStr">
      <is>
        <t>Sənan</t>
      </is>
    </nc>
  </rcc>
  <rcc rId="178" sId="2">
    <oc r="C52" t="inlineStr">
      <is>
        <t>Şirinov</t>
      </is>
    </oc>
    <nc r="C52" t="inlineStr">
      <is>
        <t>Rəsulov</t>
      </is>
    </nc>
  </rcc>
  <rcc rId="179" sId="2">
    <oc r="C53" t="inlineStr">
      <is>
        <t>Telman</t>
      </is>
    </oc>
    <nc r="C53" t="inlineStr">
      <is>
        <t>Həsən</t>
      </is>
    </nc>
  </rcc>
  <rcc rId="180" sId="2">
    <oc r="C12" t="inlineStr">
      <is>
        <t>21.12.14</t>
      </is>
    </oc>
    <nc r="C12" t="inlineStr">
      <is>
        <t>02.01.15</t>
      </is>
    </nc>
  </rcc>
  <rcc rId="181" sId="2">
    <oc r="C13" t="inlineStr">
      <is>
        <t>21.11.17</t>
      </is>
    </oc>
    <nc r="C13" t="inlineStr">
      <is>
        <t>02.12.17</t>
      </is>
    </nc>
  </rcc>
</revisions>
</file>

<file path=xl/revisions/revisionLog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2" sId="7">
    <oc r="A89" t="inlineStr">
      <is>
        <t>A.N.Məmmədov</t>
      </is>
    </oc>
    <nc r="A89" t="inlineStr">
      <is>
        <t>İ.A.Əsədov</t>
      </is>
    </nc>
  </rcc>
  <rcc rId="183" sId="7">
    <oc r="C89" t="inlineStr">
      <is>
        <t>A.N.Mammadov</t>
      </is>
    </oc>
    <nc r="C89" t="inlineStr">
      <is>
        <t>İ.A.Asadov</t>
      </is>
    </nc>
  </rcc>
  <rcc rId="184" sId="7">
    <oc r="B89" t="inlineStr">
      <is>
        <t>А.Н.Мамедов</t>
      </is>
    </oc>
    <nc r="B89" t="inlineStr">
      <is>
        <t>И.А.Асадов</t>
      </is>
    </nc>
  </rcc>
  <rdn rId="0" localSheetId="3" customView="1" name="Z_2D8FE04E_10B5_4EAA_93D2_EE669C206AFD_.wvu.PrintArea" hidden="1" oldHidden="1">
    <formula>'Mirror for payments'!$A$1:$H$71</formula>
  </rdn>
  <rdn rId="0" localSheetId="3" customView="1" name="Z_2D8FE04E_10B5_4EAA_93D2_EE669C206AFD_.wvu.Rows" hidden="1" oldHidden="1">
    <formula>'Mirror for payments'!$12:$12,'Mirror for payments'!$21:$21</formula>
  </rdn>
  <rdn rId="0" localSheetId="4" customView="1" name="Z_2D8FE04E_10B5_4EAA_93D2_EE669C206AFD_.wvu.PrintArea" hidden="1" oldHidden="1">
    <formula>'AZN only'!$A$1:$H$120</formula>
  </rdn>
  <rdn rId="0" localSheetId="4" customView="1" name="Z_2D8FE04E_10B5_4EAA_93D2_EE669C206AFD_.wvu.Rows" hidden="1" oldHidden="1">
    <formula>'AZN only'!$17:$17,'AZN only'!$21:$21</formula>
  </rdn>
  <rdn rId="0" localSheetId="7" customView="1" name="Z_2D8FE04E_10B5_4EAA_93D2_EE669C206AFD_.wvu.PrintArea" hidden="1" oldHidden="1">
    <formula>Languages!$A$1:$D$148</formula>
  </rdn>
  <rcv guid="{2D8FE04E-10B5-4EAA-93D2-EE669C206AFD}" action="add"/>
</revisions>
</file>

<file path=xl/revisions/revisionLog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0" sId="7">
    <oc r="A130" t="inlineStr">
      <is>
        <t>Lizinq müqaviləsi üzrə AGLeasing şirkətinin xərcləri</t>
      </is>
    </oc>
    <nc r="A130" t="inlineStr">
      <is>
        <t>Lizinq müqaviləsi üzrə AGLizinq şirkətinin xərcləri</t>
      </is>
    </nc>
  </rcc>
  <rcc rId="191" sId="7">
    <oc r="B88" t="inlineStr">
      <is>
        <t>"AGLeasing" QSC</t>
      </is>
    </oc>
    <nc r="B88" t="inlineStr">
      <is>
        <t>"AGLizinq" QSC</t>
      </is>
    </nc>
  </rcc>
  <rcc rId="192" sId="7">
    <oc r="B130" t="inlineStr">
      <is>
        <t>Расходы по лизиновой сделки AGLeasing</t>
      </is>
    </oc>
    <nc r="B130" t="inlineStr">
      <is>
        <t>Расходы по лизиновой сделки AGLizinq</t>
      </is>
    </nc>
  </rcc>
  <rcc rId="193" sId="7">
    <oc r="A132" t="inlineStr">
      <is>
        <t>Lizinq müqaviləsi üzrə AGLeasing şirkətinin gəliri</t>
      </is>
    </oc>
    <nc r="A132" t="inlineStr">
      <is>
        <t>Lizinq müqaviləsi üzrə AGLizinq şirkətinin gəliri</t>
      </is>
    </nc>
  </rcc>
  <rcc rId="194" sId="7">
    <oc r="B132" t="inlineStr">
      <is>
        <t>Доход AGLeasing по лизинговой сделки</t>
      </is>
    </oc>
    <nc r="B132" t="inlineStr">
      <is>
        <t>Доход AGLizinq по лизинговой сделки</t>
      </is>
    </nc>
  </rcc>
  <rcc rId="195" sId="7">
    <oc r="A162" t="inlineStr">
      <is>
        <t>"AGLeasing"ın hesabına</t>
      </is>
    </oc>
    <nc r="A162" t="inlineStr">
      <is>
        <t>"AGLizinq"in hesabına</t>
      </is>
    </nc>
  </rcc>
</revisions>
</file>

<file path=xl/revisions/revisionLog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45:A59" start="0" length="0">
    <dxf>
      <border>
        <left/>
      </border>
    </dxf>
  </rfmt>
  <rfmt sheetId="3" sqref="A45:XFD45" start="0" length="0">
    <dxf>
      <border>
        <top/>
      </border>
    </dxf>
  </rfmt>
  <rfmt sheetId="3" sqref="XFD45:XFD59" start="0" length="0">
    <dxf>
      <border>
        <right/>
      </border>
    </dxf>
  </rfmt>
  <rfmt sheetId="3" sqref="A45:XFD59">
    <dxf>
      <border>
        <left/>
        <right/>
        <vertical/>
      </border>
    </dxf>
  </rfmt>
  <rfmt sheetId="3" sqref="A42:A58" start="0" length="0">
    <dxf>
      <border>
        <left style="thin">
          <color indexed="64"/>
        </left>
      </border>
    </dxf>
  </rfmt>
  <rfmt sheetId="3" sqref="H42:H58" start="0" length="0">
    <dxf>
      <border>
        <right style="thin">
          <color indexed="64"/>
        </right>
      </border>
    </dxf>
  </rfmt>
  <rfmt sheetId="3" sqref="A58:H58" start="0" length="0">
    <dxf>
      <border>
        <bottom style="thin">
          <color indexed="64"/>
        </bottom>
      </border>
    </dxf>
  </rfmt>
  <rfmt sheetId="3" xfDxf="1" sqref="C61" start="0" length="0">
    <dxf>
      <font>
        <b/>
        <name val="Times New Roman"/>
        <scheme val="none"/>
      </font>
      <numFmt numFmtId="2" formatCode="0.00"/>
      <fill>
        <patternFill patternType="solid">
          <bgColor indexed="9"/>
        </patternFill>
      </fill>
    </dxf>
  </rfmt>
  <rfmt sheetId="3" sqref="C64" start="0" length="0">
    <dxf>
      <font>
        <b val="0"/>
        <name val="Times Latin"/>
        <scheme val="none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qref="C61" start="0" length="0">
    <dxf>
      <font>
        <b val="0"/>
        <name val="Times Latin"/>
        <scheme val="none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qref="B61:D61" start="0" length="0">
    <dxf>
      <border>
        <top/>
      </border>
    </dxf>
  </rfmt>
  <rcc rId="196" sId="3">
    <oc r="C62">
      <f>IF(E$14=Dates!A33,Languages!$B$86,IF(E$14=Dates!A34,Languages!$B$90,IF(E$14=Dates!A35,"_____________________",IF(E$14=Dates!A37,Languages!$B$88,IF(E$14=Dates!A38,Languages!$B$81,IF(E$14&gt;=Dates!A41,H61,""))))))</f>
    </oc>
    <nc r="C62">
      <f>IF(E$14=Dates!A33,Languages!$B$86,IF(E$14=Dates!A34,Languages!$B$90,IF(E$14=Dates!A35,"_____________________",IF(E$14=Dates!A37,Languages!$B$88,IF(E$14=Dates!A38,Languages!$B$81,IF(E$14&gt;=Dates!A41,H61,""))))))</f>
    </nc>
  </rcc>
  <rcc rId="197" sId="3">
    <oc r="C63">
      <f>IF(E$14=Dates!A34,Languages!$B$86,IF(E$14=Dates!A35,Languages!$B$90,IF(E$14=Dates!A36,"_____________________",IF(E$14=Dates!A38,Languages!$B$88,IF(E$14=Dates!A39,Languages!$B$81,IF(E$14&gt;=Dates!A42,H62,""))))))</f>
    </oc>
    <nc r="C63">
      <f>IF(E$14=Dates!A34,Languages!$B$86,IF(E$14=Dates!A35,Languages!$B$90,IF(E$14=Dates!A36,"_____________________",IF(E$14=Dates!A38,Languages!$B$88,IF(E$14=Dates!A39,Languages!$B$81,IF(E$14&gt;=Dates!A42,H62,""))))))</f>
    </nc>
  </rcc>
  <rcc rId="198" sId="3">
    <oc r="C64" t="inlineStr">
      <is>
        <t>İ.A.Əsədov</t>
      </is>
    </oc>
    <nc r="C64">
      <f>IF(E$14=Dates!A35,Languages!$B$86,IF(E$14=Dates!A36,Languages!$B$90,IF(E$14=Dates!A37,"_____________________",IF(E$14='C:\Users\namikah\Desktop\Senedler\[QRAFIK.xls]Dates'!A39,'C:\Users\namikah\Desktop\Senedler\[QRAFIK.xls]Languages'!$B$88,IF(E$14='C:\Users\namikah\Desktop\Senedler\[QRAFIK.xls]Dates'!A40,'C:\Users\namikah\Desktop\Senedler\[QRAFIK.xls]Languages'!$B$81,IF(E$14&gt;='C:\Users\namikah\Desktop\Senedler\[QRAFIK.xls]Dates'!A43,H63,""))))))</f>
    </nc>
  </rcc>
  <rcc rId="199" sId="3">
    <oc r="C61" t="inlineStr">
      <is>
        <t>"AGLizinq" QSC</t>
      </is>
    </oc>
    <nc r="C61">
      <f>IF(E$14=Dates!A32,Languages!$B$88,IF(E$14=Dates!A33,Languages!$B$88,IF(E$14=Dates!A34,"_____________________",IF(E$14=Dates!A36,Languages!$B$88,IF(E$14=Dates!A37,'C:\Users\namikah\Desktop\Senedler\[QRAFIK.xls]Languages'!$B$81,IF(E$14&gt;='C:\Users\namikah\Desktop\Senedler\[QRAFIK.xls]Dates'!A40,H60,""))))))</f>
    </nc>
  </rcc>
  <rcv guid="{2D8FE04E-10B5-4EAA-93D2-EE669C206AFD}" action="delete"/>
  <rdn rId="0" localSheetId="3" customView="1" name="Z_2D8FE04E_10B5_4EAA_93D2_EE669C206AFD_.wvu.PrintArea" hidden="1" oldHidden="1">
    <formula>'Mirror for payments'!$A$1:$H$71</formula>
    <oldFormula>'Mirror for payments'!$A$1:$H$71</oldFormula>
  </rdn>
  <rdn rId="0" localSheetId="3" customView="1" name="Z_2D8FE04E_10B5_4EAA_93D2_EE669C206AFD_.wvu.Rows" hidden="1" oldHidden="1">
    <formula>'Mirror for payments'!$12:$12,'Mirror for payments'!$21:$21</formula>
    <oldFormula>'Mirror for payments'!$12:$12,'Mirror for payments'!$21:$21</oldFormula>
  </rdn>
  <rdn rId="0" localSheetId="4" customView="1" name="Z_2D8FE04E_10B5_4EAA_93D2_EE669C206AFD_.wvu.PrintArea" hidden="1" oldHidden="1">
    <formula>'AZN only'!$A$1:$H$120</formula>
    <oldFormula>'AZN only'!$A$1:$H$120</oldFormula>
  </rdn>
  <rdn rId="0" localSheetId="4" customView="1" name="Z_2D8FE04E_10B5_4EAA_93D2_EE669C206AFD_.wvu.Rows" hidden="1" oldHidden="1">
    <formula>'AZN only'!$17:$17,'AZN only'!$21:$21</formula>
    <oldFormula>'AZN only'!$17:$17,'AZN only'!$21:$21</oldFormula>
  </rdn>
  <rdn rId="0" localSheetId="7" customView="1" name="Z_2D8FE04E_10B5_4EAA_93D2_EE669C206AFD_.wvu.PrintArea" hidden="1" oldHidden="1">
    <formula>Languages!$A$1:$D$148</formula>
    <oldFormula>Languages!$A$1:$D$148</oldFormula>
  </rdn>
  <rcv guid="{2D8FE04E-10B5-4EAA-93D2-EE669C206AFD}" action="add"/>
</revisions>
</file>

<file path=xl/revisions/revisionLog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5" sId="7">
    <oc r="C89" t="inlineStr">
      <is>
        <t>İ.A.Asadov</t>
      </is>
    </oc>
    <nc r="C89" t="inlineStr">
      <is>
        <t>R.İ.Musayev</t>
      </is>
    </nc>
  </rcc>
  <rcc rId="206" sId="7">
    <oc r="B89" t="inlineStr">
      <is>
        <t>И.А.Асадов</t>
      </is>
    </oc>
    <nc r="B89" t="inlineStr">
      <is>
        <t>R.İ.Musayev</t>
      </is>
    </nc>
  </rcc>
  <rcc rId="207" sId="7">
    <oc r="A89" t="inlineStr">
      <is>
        <t>İ.A.Əsədov</t>
      </is>
    </oc>
    <nc r="A89" t="inlineStr">
      <is>
        <t>R.İ.Musayev</t>
      </is>
    </nc>
  </rcc>
  <rcv guid="{2D8FE04E-10B5-4EAA-93D2-EE669C206AFD}" action="delete"/>
  <rdn rId="0" localSheetId="3" customView="1" name="Z_2D8FE04E_10B5_4EAA_93D2_EE669C206AFD_.wvu.PrintArea" hidden="1" oldHidden="1">
    <formula>'Mirror for payments'!$A$1:$H$71</formula>
    <oldFormula>'Mirror for payments'!$A$1:$H$71</oldFormula>
  </rdn>
  <rdn rId="0" localSheetId="3" customView="1" name="Z_2D8FE04E_10B5_4EAA_93D2_EE669C206AFD_.wvu.Rows" hidden="1" oldHidden="1">
    <formula>'Mirror for payments'!$12:$12,'Mirror for payments'!$21:$21</formula>
    <oldFormula>'Mirror for payments'!$12:$12,'Mirror for payments'!$21:$21</oldFormula>
  </rdn>
  <rdn rId="0" localSheetId="4" customView="1" name="Z_2D8FE04E_10B5_4EAA_93D2_EE669C206AFD_.wvu.PrintArea" hidden="1" oldHidden="1">
    <formula>'AZN only'!$A$1:$H$120</formula>
    <oldFormula>'AZN only'!$A$1:$H$120</oldFormula>
  </rdn>
  <rdn rId="0" localSheetId="4" customView="1" name="Z_2D8FE04E_10B5_4EAA_93D2_EE669C206AFD_.wvu.Rows" hidden="1" oldHidden="1">
    <formula>'AZN only'!$17:$17,'AZN only'!$21:$21</formula>
    <oldFormula>'AZN only'!$17:$17,'AZN only'!$21:$21</oldFormula>
  </rdn>
  <rdn rId="0" localSheetId="7" customView="1" name="Z_2D8FE04E_10B5_4EAA_93D2_EE669C206AFD_.wvu.PrintArea" hidden="1" oldHidden="1">
    <formula>Languages!$A$1:$D$148</formula>
    <oldFormula>Languages!$A$1:$D$148</oldFormula>
  </rdn>
  <rcv guid="{2D8FE04E-10B5-4EAA-93D2-EE669C206AFD}" action="add"/>
</revisions>
</file>

<file path=xl/revisions/revisionLog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3" sId="2" numFmtId="4">
    <oc r="C30">
      <v>2205</v>
    </oc>
    <nc r="C30">
      <v>0</v>
    </nc>
  </rcc>
  <rcv guid="{2D8FE04E-10B5-4EAA-93D2-EE669C206AFD}" action="delete"/>
  <rdn rId="0" localSheetId="3" customView="1" name="Z_2D8FE04E_10B5_4EAA_93D2_EE669C206AFD_.wvu.PrintArea" hidden="1" oldHidden="1">
    <formula>'Mirror for payments'!$A$1:$H$71</formula>
    <oldFormula>'Mirror for payments'!$A$1:$H$71</oldFormula>
  </rdn>
  <rdn rId="0" localSheetId="3" customView="1" name="Z_2D8FE04E_10B5_4EAA_93D2_EE669C206AFD_.wvu.Rows" hidden="1" oldHidden="1">
    <formula>'Mirror for payments'!$12:$12,'Mirror for payments'!$21:$21</formula>
    <oldFormula>'Mirror for payments'!$12:$12,'Mirror for payments'!$21:$21</oldFormula>
  </rdn>
  <rdn rId="0" localSheetId="4" customView="1" name="Z_2D8FE04E_10B5_4EAA_93D2_EE669C206AFD_.wvu.PrintArea" hidden="1" oldHidden="1">
    <formula>'AZN only'!$A$1:$H$120</formula>
    <oldFormula>'AZN only'!$A$1:$H$120</oldFormula>
  </rdn>
  <rdn rId="0" localSheetId="4" customView="1" name="Z_2D8FE04E_10B5_4EAA_93D2_EE669C206AFD_.wvu.Rows" hidden="1" oldHidden="1">
    <formula>'AZN only'!$17:$17,'AZN only'!$21:$21</formula>
    <oldFormula>'AZN only'!$17:$17,'AZN only'!$21:$21</oldFormula>
  </rdn>
  <rdn rId="0" localSheetId="7" customView="1" name="Z_2D8FE04E_10B5_4EAA_93D2_EE669C206AFD_.wvu.PrintArea" hidden="1" oldHidden="1">
    <formula>Languages!$A$1:$D$148</formula>
    <oldFormula>Languages!$A$1:$D$148</oldFormula>
  </rdn>
  <rcv guid="{2D8FE04E-10B5-4EAA-93D2-EE669C206AFD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1">
  <userInfo guid="{E8DDE1A6-2C60-4369-A0A3-57DD84A15D6D}" name="Namik Heydarov" id="-1527779512" dateTime="2014-07-08T14:00:41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10" Type="http://schemas.openxmlformats.org/officeDocument/2006/relationships/ctrlProp" Target="../ctrlProps/ctrlProp1.xml"/><Relationship Id="rId4" Type="http://schemas.openxmlformats.org/officeDocument/2006/relationships/printerSettings" Target="../printerSettings/printerSettings4.bin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13" Type="http://schemas.openxmlformats.org/officeDocument/2006/relationships/ctrlProp" Target="../ctrlProps/ctrlProp5.x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12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11" Type="http://schemas.openxmlformats.org/officeDocument/2006/relationships/ctrlProp" Target="../ctrlProps/ctrlProp3.xml"/><Relationship Id="rId5" Type="http://schemas.openxmlformats.org/officeDocument/2006/relationships/printerSettings" Target="../printerSettings/printerSettings12.bin"/><Relationship Id="rId10" Type="http://schemas.openxmlformats.org/officeDocument/2006/relationships/ctrlProp" Target="../ctrlProps/ctrlProp2.xml"/><Relationship Id="rId4" Type="http://schemas.openxmlformats.org/officeDocument/2006/relationships/printerSettings" Target="../printerSettings/printerSettings11.bin"/><Relationship Id="rId9" Type="http://schemas.openxmlformats.org/officeDocument/2006/relationships/vmlDrawing" Target="../drawings/vmlDrawing2.vml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5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printerSettings" Target="../printerSettings/printerSettings38.bin"/><Relationship Id="rId7" Type="http://schemas.openxmlformats.org/officeDocument/2006/relationships/printerSettings" Target="../printerSettings/printerSettings42.bin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Relationship Id="rId6" Type="http://schemas.openxmlformats.org/officeDocument/2006/relationships/printerSettings" Target="../printerSettings/printerSettings41.bin"/><Relationship Id="rId5" Type="http://schemas.openxmlformats.org/officeDocument/2006/relationships/printerSettings" Target="../printerSettings/printerSettings40.bin"/><Relationship Id="rId10" Type="http://schemas.openxmlformats.org/officeDocument/2006/relationships/comments" Target="../comments3.xml"/><Relationship Id="rId4" Type="http://schemas.openxmlformats.org/officeDocument/2006/relationships/printerSettings" Target="../printerSettings/printerSettings39.bin"/><Relationship Id="rId9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19:L34"/>
  <sheetViews>
    <sheetView topLeftCell="A7" workbookViewId="0">
      <selection activeCell="F32" sqref="F32"/>
    </sheetView>
  </sheetViews>
  <sheetFormatPr defaultRowHeight="12.75"/>
  <cols>
    <col min="1" max="16384" width="9.140625" style="1"/>
  </cols>
  <sheetData>
    <row r="19" spans="6:12">
      <c r="L19" s="1" t="s">
        <v>2</v>
      </c>
    </row>
    <row r="20" spans="6:12">
      <c r="L20" s="1" t="s">
        <v>3</v>
      </c>
    </row>
    <row r="21" spans="6:12">
      <c r="L21" s="1" t="s">
        <v>1</v>
      </c>
    </row>
    <row r="28" spans="6:12">
      <c r="G28" s="2" t="s">
        <v>0</v>
      </c>
    </row>
    <row r="32" spans="6:12">
      <c r="F32" s="2" t="s">
        <v>256</v>
      </c>
    </row>
    <row r="34" spans="8:9">
      <c r="H34" s="194"/>
      <c r="I34" s="194"/>
    </row>
  </sheetData>
  <sheetProtection password="C088" sheet="1" formatCells="0" formatColumns="0" formatRows="0" insertColumns="0" insertRows="0" insertHyperlinks="0" deleteColumns="0" deleteRows="0" sort="0" autoFilter="0" pivotTables="0"/>
  <customSheetViews>
    <customSheetView guid="{2D8FE04E-10B5-4EAA-93D2-EE669C206AFD}" topLeftCell="A7">
      <selection activeCell="F32" sqref="F32"/>
      <pageMargins left="0.75" right="0.75" top="1" bottom="1" header="0.5" footer="0.5"/>
      <pageSetup paperSize="9" orientation="portrait" r:id="rId1"/>
      <headerFooter alignWithMargins="0"/>
    </customSheetView>
    <customSheetView guid="{5171270A-F9AF-4D41-A7C6-60AFF57C569E}" topLeftCell="A7">
      <selection activeCell="F32" sqref="F32"/>
      <pageMargins left="0.75" right="0.75" top="1" bottom="1" header="0.5" footer="0.5"/>
      <pageSetup paperSize="9" orientation="portrait" r:id="rId2"/>
      <headerFooter alignWithMargins="0"/>
    </customSheetView>
    <customSheetView guid="{13FA8F4C-0951-4875-9D44-4989C5CEBB01}" topLeftCell="A7">
      <selection activeCell="F32" sqref="F32"/>
      <pageMargins left="0.75" right="0.75" top="1" bottom="1" header="0.5" footer="0.5"/>
      <pageSetup paperSize="9" orientation="portrait" r:id="rId3"/>
      <headerFooter alignWithMargins="0"/>
    </customSheetView>
    <customSheetView guid="{77B961DF-431A-4785-A57B-FF1BA0586569}" showRuler="0" topLeftCell="A4">
      <selection activeCell="F32" sqref="F32"/>
      <pageMargins left="0.75" right="0.75" top="1" bottom="1" header="0.5" footer="0.5"/>
      <pageSetup paperSize="9" orientation="portrait" r:id="rId4"/>
      <headerFooter alignWithMargins="0"/>
    </customSheetView>
    <customSheetView guid="{AD887635-810A-407C-BA16-5AFA4A800B29}" showRuler="0" topLeftCell="A4">
      <selection activeCell="F32" sqref="F32"/>
      <pageMargins left="0.75" right="0.75" top="1" bottom="1" header="0.5" footer="0.5"/>
      <pageSetup paperSize="9" orientation="portrait" r:id="rId5"/>
      <headerFooter alignWithMargins="0"/>
    </customSheetView>
    <customSheetView guid="{C56ABC15-C776-4280-9985-F20AC3F66C8A}" topLeftCell="A7">
      <selection activeCell="F32" sqref="F32"/>
      <pageMargins left="0.75" right="0.75" top="1" bottom="1" header="0.5" footer="0.5"/>
      <pageSetup paperSize="9" orientation="portrait" r:id="rId6"/>
      <headerFooter alignWithMargins="0"/>
    </customSheetView>
  </customSheetViews>
  <mergeCells count="1">
    <mergeCell ref="H34:I34"/>
  </mergeCells>
  <phoneticPr fontId="2" type="noConversion"/>
  <pageMargins left="0.75" right="0.75" top="1" bottom="1" header="0.5" footer="0.5"/>
  <pageSetup paperSize="9" orientation="portrait" r:id="rId7"/>
  <headerFooter alignWithMargins="0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10" name="Drop Down 3">
              <controlPr defaultSize="0" print="0" autoLine="0" autoPict="0">
                <anchor>
                  <from>
                    <xdr:col>7</xdr:col>
                    <xdr:colOff>361950</xdr:colOff>
                    <xdr:row>26</xdr:row>
                    <xdr:rowOff>123825</xdr:rowOff>
                  </from>
                  <to>
                    <xdr:col>10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97"/>
  <sheetViews>
    <sheetView tabSelected="1" topLeftCell="A10" workbookViewId="0">
      <selection activeCell="I21" sqref="I21"/>
    </sheetView>
  </sheetViews>
  <sheetFormatPr defaultRowHeight="12.75" outlineLevelRow="1"/>
  <cols>
    <col min="1" max="1" width="9.140625" style="46"/>
    <col min="2" max="2" width="34.5703125" style="50" bestFit="1" customWidth="1"/>
    <col min="3" max="3" width="12.5703125" bestFit="1" customWidth="1"/>
    <col min="4" max="6" width="9.140625" style="46"/>
    <col min="7" max="8" width="5" style="46" customWidth="1"/>
    <col min="9" max="12" width="9.140625" style="46"/>
    <col min="13" max="16" width="9.140625" style="45"/>
  </cols>
  <sheetData>
    <row r="1" spans="2:10">
      <c r="B1" s="46"/>
      <c r="C1" s="45"/>
    </row>
    <row r="2" spans="2:10">
      <c r="B2" s="46"/>
      <c r="C2" s="45"/>
    </row>
    <row r="3" spans="2:10">
      <c r="B3" s="60" t="s">
        <v>210</v>
      </c>
      <c r="C3" s="45"/>
    </row>
    <row r="4" spans="2:10">
      <c r="B4" s="46"/>
      <c r="C4" s="45"/>
    </row>
    <row r="5" spans="2:10">
      <c r="B5" s="47" t="str">
        <f>IF(Languages!$B$1=1,Languages!A2,IF(Languages!$B$1=2,Languages!B2,IF(Languages!$B$1=3,Languages!C2)))</f>
        <v>Müqaviləsinin nömrəsi</v>
      </c>
      <c r="C5" s="140" t="s">
        <v>260</v>
      </c>
    </row>
    <row r="6" spans="2:10">
      <c r="B6" s="47" t="str">
        <f>IF(Languages!$B$1=1,Languages!A3,IF(Languages!$B$1=2,Languages!B3,IF(Languages!$B$1=3,Languages!C3)))</f>
        <v>Müqaviləsinin tarixi</v>
      </c>
      <c r="C6" s="53" t="s">
        <v>261</v>
      </c>
    </row>
    <row r="7" spans="2:10">
      <c r="B7" s="47" t="str">
        <f>IF(Languages!$B$1=1,Languages!A4,IF(Languages!$B$1=2,Languages!B4,IF(Languages!$B$1=3,Languages!C4)))</f>
        <v>Müddət</v>
      </c>
      <c r="C7" s="54">
        <v>36</v>
      </c>
      <c r="H7" s="60" t="s">
        <v>255</v>
      </c>
      <c r="I7" s="59"/>
      <c r="J7" s="59"/>
    </row>
    <row r="8" spans="2:10">
      <c r="B8" s="47" t="str">
        <f>IF(Languages!$B$1=1,Languages!A5,IF(Languages!$B$1=2,Languages!B5,IF(Languages!$B$1=3,Languages!C5)))</f>
        <v>Faiz dərəcəsi</v>
      </c>
      <c r="C8" s="73">
        <v>0.22</v>
      </c>
      <c r="I8" s="59"/>
      <c r="J8" s="59"/>
    </row>
    <row r="9" spans="2:10">
      <c r="B9" s="47" t="str">
        <f>IF(Languages!$B$1=1,Languages!A6,IF(Languages!$B$1=2,Languages!B6,IF(Languages!$B$1=3,Languages!C6)))</f>
        <v>Əlavə faizlər</v>
      </c>
      <c r="C9" s="54"/>
      <c r="H9" s="60" t="s">
        <v>209</v>
      </c>
    </row>
    <row r="10" spans="2:10">
      <c r="B10" s="47" t="str">
        <f>IF(Languages!$B$1=1,Languages!A7,IF(Languages!$B$1=2,Languages!B7,IF(Languages!$B$1=3,Languages!C7)))</f>
        <v>Güzəştlı ayların sayı</v>
      </c>
      <c r="C10" s="54">
        <v>0</v>
      </c>
      <c r="H10" s="52" t="s">
        <v>140</v>
      </c>
    </row>
    <row r="11" spans="2:10">
      <c r="B11" s="47" t="str">
        <f>IF(Languages!$B$1=1,Languages!A8,IF(Languages!$B$1=2,Languages!B8,IF(Languages!$B$1=3,Languages!C8)))</f>
        <v>Güzəşt üzrə məbləğ</v>
      </c>
      <c r="C11" s="54"/>
      <c r="H11" s="52"/>
    </row>
    <row r="12" spans="2:10">
      <c r="B12" s="47" t="str">
        <f>IF(Languages!$B$1=1,Languages!A9,IF(Languages!$B$1=2,Languages!B9,IF(Languages!$B$1=3,Languages!C9)))</f>
        <v>Birinci ödəmə</v>
      </c>
      <c r="C12" s="53" t="s">
        <v>265</v>
      </c>
    </row>
    <row r="13" spans="2:10">
      <c r="B13" s="47" t="str">
        <f>IF(Languages!$B$1=1,Languages!A10,IF(Languages!$B$1=2,Languages!B10,IF(Languages!$B$1=3,Languages!C10)))</f>
        <v>Axırıncı ödəmə</v>
      </c>
      <c r="C13" s="140" t="s">
        <v>266</v>
      </c>
    </row>
    <row r="14" spans="2:10">
      <c r="B14" s="46"/>
      <c r="C14" s="45"/>
      <c r="E14" s="46" t="s">
        <v>257</v>
      </c>
    </row>
    <row r="15" spans="2:10">
      <c r="B15" s="47" t="str">
        <f>IF(Languages!$B$1=1,Languages!A13,IF(Languages!$B$1=2,Languages!B13,IF(Languages!$B$1=3,Languages!C13)))</f>
        <v>Avans</v>
      </c>
      <c r="C15" s="73">
        <v>0</v>
      </c>
    </row>
    <row r="16" spans="2:10">
      <c r="B16" s="47" t="str">
        <f>IF(Languages!$B$1=1,Languages!A17,IF(Languages!$B$1=2,Languages!B17,IF(Languages!$B$1=3,Languages!C17)))</f>
        <v>Birdəfəlik mükafat</v>
      </c>
      <c r="C16" s="55">
        <v>0.03</v>
      </c>
    </row>
    <row r="17" spans="1:19" ht="16.5" customHeight="1">
      <c r="B17" s="47" t="str">
        <f>IF(Languages!$B$1=1,Languages!A143,IF(Languages!$B$1=2,Languages!B143,IF(Languages!$B$1=3,Languages!C143)))</f>
        <v>Qrafikin tipi</v>
      </c>
      <c r="C17" s="44"/>
    </row>
    <row r="18" spans="1:19" ht="13.5" thickBot="1">
      <c r="B18" s="46"/>
      <c r="C18" s="45"/>
    </row>
    <row r="19" spans="1:19" ht="16.5" customHeight="1" thickBot="1">
      <c r="B19" s="47" t="str">
        <f>IF(Languages!B1=1,Languages!A18,IF(Languages!B1=2,Languages!B18,IF(Languages!B1=3,Languages!C18)))</f>
        <v>Valyuta</v>
      </c>
      <c r="C19" s="3"/>
      <c r="E19" s="82" t="s">
        <v>229</v>
      </c>
      <c r="F19" s="83">
        <v>0.85599999999999998</v>
      </c>
      <c r="G19" s="84" t="s">
        <v>76</v>
      </c>
    </row>
    <row r="20" spans="1:19" s="63" customFormat="1" ht="16.5" customHeight="1" thickBot="1">
      <c r="A20" s="46"/>
      <c r="B20" s="48" t="str">
        <f>IF(Languages!$B$1=1,Languages!A26,IF(Languages!$B$1=2,Languages!B26,IF(Languages!$B$1=3,Languages!C26)))</f>
        <v>Lizinq müqaviləsi üzrə xərclər</v>
      </c>
      <c r="C20" s="56"/>
      <c r="D20" s="51">
        <f>IF(SUM(C21:C43)=0,C20,SUM(C21:C43))</f>
        <v>52000</v>
      </c>
      <c r="E20" s="51">
        <f>C21+C22+C23+C24+C25+C27+C29+C26</f>
        <v>52000</v>
      </c>
      <c r="F20" s="46"/>
      <c r="G20" s="46"/>
      <c r="H20" s="46"/>
      <c r="I20" s="46"/>
      <c r="J20" s="46"/>
      <c r="K20" s="46"/>
      <c r="L20" s="46"/>
      <c r="M20" s="65"/>
      <c r="N20" s="65"/>
      <c r="O20" s="65"/>
      <c r="P20" s="65"/>
      <c r="Q20" s="64"/>
      <c r="R20" s="64"/>
      <c r="S20" s="64"/>
    </row>
    <row r="21" spans="1:19" s="63" customFormat="1" outlineLevel="1">
      <c r="A21" s="46"/>
      <c r="B21" s="48" t="str">
        <f>IF(Languages!$B$1=1,Languages!A27,IF(Languages!$B$1=2,Languages!B27,IF(Languages!$B$1=3,Languages!C27)))</f>
        <v>Avadanlığın qiyməti</v>
      </c>
      <c r="C21" s="105">
        <v>52000</v>
      </c>
      <c r="D21" s="46"/>
      <c r="E21" s="46"/>
      <c r="F21" s="46"/>
      <c r="G21" s="46"/>
      <c r="H21" s="46"/>
      <c r="I21" s="46"/>
      <c r="J21" s="46"/>
      <c r="K21" s="46"/>
      <c r="L21" s="46"/>
      <c r="M21" s="65"/>
      <c r="N21" s="65"/>
      <c r="O21" s="65"/>
      <c r="P21" s="65"/>
      <c r="Q21" s="64"/>
      <c r="R21" s="64"/>
      <c r="S21" s="64"/>
    </row>
    <row r="22" spans="1:19" s="63" customFormat="1" outlineLevel="1">
      <c r="A22" s="46"/>
      <c r="B22" s="48" t="str">
        <f>IF(Languages!$B$1=1,Languages!A28,IF(Languages!$B$1=2,Languages!B28,IF(Languages!$B$1=3,Languages!C28)))</f>
        <v>Gömrük xərcləri</v>
      </c>
      <c r="C22" s="105"/>
      <c r="D22" s="46"/>
      <c r="E22" s="46"/>
      <c r="F22" s="46"/>
      <c r="G22" s="46"/>
      <c r="H22" s="46"/>
      <c r="I22" s="46"/>
      <c r="J22" s="46"/>
      <c r="K22" s="46"/>
      <c r="L22" s="46"/>
      <c r="M22" s="65"/>
      <c r="N22" s="65"/>
      <c r="O22" s="65"/>
      <c r="P22" s="65"/>
      <c r="Q22" s="64"/>
      <c r="R22" s="64"/>
      <c r="S22" s="64"/>
    </row>
    <row r="23" spans="1:19" s="63" customFormat="1" outlineLevel="1">
      <c r="A23" s="46"/>
      <c r="B23" s="48" t="str">
        <f>IF(Languages!$B$1=1,Languages!A29,IF(Languages!$B$1=2,Languages!B29,IF(Languages!$B$1=3,Languages!C29)))</f>
        <v>ƏDV</v>
      </c>
      <c r="C23" s="105"/>
      <c r="D23" s="46"/>
      <c r="E23" s="46"/>
      <c r="F23" s="46"/>
      <c r="G23" s="46"/>
      <c r="H23" s="46"/>
      <c r="I23" s="46"/>
      <c r="J23" s="46"/>
      <c r="K23" s="46"/>
      <c r="L23" s="46"/>
      <c r="M23" s="65"/>
      <c r="N23" s="65"/>
      <c r="O23" s="65"/>
      <c r="P23" s="65"/>
      <c r="Q23" s="64"/>
      <c r="R23" s="64"/>
      <c r="S23" s="64"/>
    </row>
    <row r="24" spans="1:19" s="63" customFormat="1" outlineLevel="1">
      <c r="A24" s="46"/>
      <c r="B24" s="48" t="str">
        <f>IF(Languages!$B$1=1,Languages!A30,IF(Languages!$B$1=2,Languages!B30,IF(Languages!$B$1=3,Languages!C30)))</f>
        <v>Gömrük proseduru</v>
      </c>
      <c r="C24" s="105"/>
      <c r="D24" s="46"/>
      <c r="E24" s="46"/>
      <c r="F24" s="46"/>
      <c r="G24" s="46"/>
      <c r="H24" s="46"/>
      <c r="I24" s="46"/>
      <c r="J24" s="46"/>
      <c r="K24" s="46"/>
      <c r="L24" s="46"/>
      <c r="M24" s="65"/>
      <c r="N24" s="65"/>
      <c r="O24" s="65"/>
      <c r="P24" s="65"/>
      <c r="Q24" s="64"/>
      <c r="R24" s="64"/>
      <c r="S24" s="64"/>
    </row>
    <row r="25" spans="1:19" s="63" customFormat="1" outlineLevel="1">
      <c r="A25" s="46"/>
      <c r="B25" s="48" t="str">
        <f>IF(Languages!$B$1=1,Languages!A31,IF(Languages!$B$1=2,Languages!B31,IF(Languages!$B$1=3,Languages!C31)))</f>
        <v>Gömrük rüsumu</v>
      </c>
      <c r="C25" s="105"/>
      <c r="D25" s="46"/>
      <c r="E25" s="46"/>
      <c r="F25" s="46"/>
      <c r="G25" s="46"/>
      <c r="H25" s="46"/>
      <c r="I25" s="46"/>
      <c r="J25" s="46"/>
      <c r="K25" s="46"/>
      <c r="L25" s="46"/>
      <c r="M25" s="65"/>
      <c r="N25" s="65"/>
      <c r="O25" s="65"/>
      <c r="P25" s="65"/>
      <c r="Q25" s="64"/>
      <c r="R25" s="64"/>
      <c r="S25" s="64"/>
    </row>
    <row r="26" spans="1:19" s="63" customFormat="1" outlineLevel="1">
      <c r="A26" s="46"/>
      <c r="B26" s="48" t="str">
        <f>Languages!B160</f>
        <v>Deklаrasiya</v>
      </c>
      <c r="C26" s="105"/>
      <c r="D26" s="46"/>
      <c r="E26" s="46"/>
      <c r="F26" s="46"/>
      <c r="G26" s="46"/>
      <c r="H26" s="46"/>
      <c r="I26" s="46"/>
      <c r="J26" s="46"/>
      <c r="K26" s="46"/>
      <c r="L26" s="46"/>
      <c r="M26" s="65"/>
      <c r="N26" s="65"/>
      <c r="O26" s="65"/>
      <c r="P26" s="65"/>
      <c r="Q26" s="64"/>
      <c r="R26" s="64"/>
      <c r="S26" s="64"/>
    </row>
    <row r="27" spans="1:19" s="63" customFormat="1" outlineLevel="1">
      <c r="A27" s="46"/>
      <c r="B27" s="48" t="str">
        <f>IF(Languages!$B$1=1,Languages!A32,IF(Languages!$B$1=2,Languages!B32,IF(Languages!$B$1=3,Languages!C32)))</f>
        <v>Nəqliyyat xərcləri</v>
      </c>
      <c r="C27" s="105"/>
      <c r="D27" s="46"/>
      <c r="E27" s="46"/>
      <c r="F27" s="46"/>
      <c r="G27" s="46"/>
      <c r="H27" s="46"/>
      <c r="I27" s="46"/>
      <c r="J27" s="46"/>
      <c r="K27" s="46"/>
      <c r="L27" s="46"/>
      <c r="M27" s="65"/>
      <c r="N27" s="65"/>
      <c r="O27" s="65"/>
      <c r="P27" s="65"/>
      <c r="Q27" s="64"/>
      <c r="R27" s="64"/>
      <c r="S27" s="64"/>
    </row>
    <row r="28" spans="1:19" s="63" customFormat="1" outlineLevel="1">
      <c r="A28" s="46"/>
      <c r="B28" s="48"/>
      <c r="C28" s="105"/>
      <c r="D28" s="46"/>
      <c r="E28" s="46"/>
      <c r="F28" s="46"/>
      <c r="G28" s="46"/>
      <c r="H28" s="46"/>
      <c r="I28" s="46"/>
      <c r="J28" s="46"/>
      <c r="K28" s="46"/>
      <c r="L28" s="46"/>
      <c r="M28" s="65"/>
      <c r="N28" s="65"/>
      <c r="O28" s="65"/>
      <c r="P28" s="65"/>
      <c r="Q28" s="64"/>
      <c r="R28" s="64"/>
      <c r="S28" s="64"/>
    </row>
    <row r="29" spans="1:19" s="63" customFormat="1" outlineLevel="1">
      <c r="A29" s="46"/>
      <c r="B29" s="48" t="str">
        <f>IF(Languages!$B$1=1,Languages!A34,IF(Languages!$B$1=2,Languages!B34,IF(Languages!$B$1=3,Languages!C34)))</f>
        <v>Avadanlığın quraştırılması</v>
      </c>
      <c r="C29" s="105"/>
      <c r="D29" s="46"/>
      <c r="E29" s="46"/>
      <c r="F29" s="46"/>
      <c r="G29" s="46"/>
      <c r="H29" s="46"/>
      <c r="I29" s="46"/>
      <c r="J29" s="46"/>
      <c r="K29" s="46"/>
      <c r="L29" s="46"/>
      <c r="M29" s="65"/>
      <c r="N29" s="65"/>
      <c r="O29" s="65"/>
      <c r="P29" s="65"/>
      <c r="Q29" s="64"/>
      <c r="R29" s="64"/>
      <c r="S29" s="64"/>
    </row>
    <row r="30" spans="1:19" s="63" customFormat="1" outlineLevel="1">
      <c r="A30" s="46"/>
      <c r="B30" s="48" t="str">
        <f>IF(Languages!$B$1=1,Languages!A35,IF(Languages!$B$1=2,Languages!B35,IF(Languages!$B$1=3,Languages!C35)))</f>
        <v>Bank köçürməsi xərcləri</v>
      </c>
      <c r="C30" s="105">
        <v>0</v>
      </c>
      <c r="D30" s="141" t="s">
        <v>258</v>
      </c>
      <c r="E30" s="46"/>
      <c r="F30" s="46"/>
      <c r="G30" s="46"/>
      <c r="H30" s="46"/>
      <c r="I30" s="46"/>
      <c r="J30" s="46"/>
      <c r="K30" s="46"/>
      <c r="L30" s="46"/>
      <c r="M30" s="65"/>
      <c r="N30" s="65"/>
      <c r="O30" s="65"/>
      <c r="P30" s="65"/>
      <c r="Q30" s="64"/>
      <c r="R30" s="64"/>
      <c r="S30" s="64"/>
    </row>
    <row r="31" spans="1:19" s="63" customFormat="1" outlineLevel="1">
      <c r="A31" s="46"/>
      <c r="B31" s="48" t="str">
        <f>IF(Languages!$B$1=1,Languages!A36,IF(Languages!$B$1=2,Languages!B36,IF(Languages!$B$1=3,Languages!C36)))</f>
        <v>Valyuta mübadiləsi</v>
      </c>
      <c r="C31" s="57"/>
      <c r="D31" s="46"/>
      <c r="E31" s="46"/>
      <c r="F31" s="46"/>
      <c r="G31" s="46"/>
      <c r="H31" s="46"/>
      <c r="I31" s="46"/>
      <c r="J31" s="46"/>
      <c r="K31" s="46"/>
      <c r="L31" s="46"/>
      <c r="M31" s="65"/>
      <c r="N31" s="65"/>
      <c r="O31" s="65"/>
      <c r="P31" s="65"/>
      <c r="Q31" s="64"/>
      <c r="R31" s="64"/>
      <c r="S31" s="64"/>
    </row>
    <row r="32" spans="1:19" s="63" customFormat="1" outlineLevel="1">
      <c r="A32" s="46"/>
      <c r="B32" s="48" t="str">
        <f>IF(Languages!$B$1=1,Languages!A37,IF(Languages!$B$1=2,Languages!B37,IF(Languages!$B$1=3,Languages!C37)))</f>
        <v>Akreditiv xərcləri</v>
      </c>
      <c r="C32" s="57"/>
      <c r="D32" s="46"/>
      <c r="E32" s="46"/>
      <c r="F32" s="46"/>
      <c r="G32" s="46"/>
      <c r="H32" s="46"/>
      <c r="I32" s="46"/>
      <c r="J32" s="46"/>
      <c r="K32" s="46"/>
      <c r="L32" s="46"/>
      <c r="M32" s="65"/>
      <c r="N32" s="65"/>
      <c r="O32" s="65"/>
      <c r="P32" s="65"/>
      <c r="Q32" s="64"/>
      <c r="R32" s="64"/>
      <c r="S32" s="64"/>
    </row>
    <row r="33" spans="1:19" s="63" customFormat="1" outlineLevel="1">
      <c r="A33" s="46"/>
      <c r="B33" s="48" t="str">
        <f>IF(Languages!$B$1=1,Languages!A38,IF(Languages!$B$1=2,Languages!B38,IF(Languages!$B$1=3,Languages!C38)))</f>
        <v>Notariat xərcləri</v>
      </c>
      <c r="C33" s="57"/>
      <c r="D33" s="46"/>
      <c r="E33" s="46"/>
      <c r="F33" s="46"/>
      <c r="G33" s="46"/>
      <c r="H33" s="46"/>
      <c r="I33" s="46"/>
      <c r="J33" s="46"/>
      <c r="K33" s="46"/>
      <c r="L33" s="46"/>
      <c r="M33" s="65"/>
      <c r="N33" s="65"/>
      <c r="O33" s="65"/>
      <c r="P33" s="65"/>
      <c r="Q33" s="64"/>
      <c r="R33" s="64"/>
      <c r="S33" s="64"/>
    </row>
    <row r="34" spans="1:19" s="63" customFormat="1" outlineLevel="1">
      <c r="A34" s="46"/>
      <c r="B34" s="48" t="str">
        <f>IF(Languages!$B$1=1,Languages!A39,IF(Languages!$B$1=2,Languages!B39,IF(Languages!$B$1=3,Languages!C39)))</f>
        <v xml:space="preserve">Vergilər  </v>
      </c>
      <c r="C34" s="57"/>
      <c r="D34" s="46"/>
      <c r="E34" s="46"/>
      <c r="F34" s="46"/>
      <c r="G34" s="46"/>
      <c r="H34" s="46"/>
      <c r="I34" s="46"/>
      <c r="J34" s="46"/>
      <c r="K34" s="46"/>
      <c r="L34" s="46"/>
      <c r="M34" s="65"/>
      <c r="N34" s="65"/>
      <c r="O34" s="65"/>
      <c r="P34" s="65"/>
      <c r="Q34" s="64"/>
      <c r="R34" s="64"/>
      <c r="S34" s="64"/>
    </row>
    <row r="35" spans="1:19" s="63" customFormat="1" outlineLevel="1">
      <c r="A35" s="46"/>
      <c r="B35" s="48" t="str">
        <f>IF(Languages!$B$1=1,Languages!A40,IF(Languages!$B$1=2,Languages!B40,IF(Languages!$B$1=3,Languages!C40)))</f>
        <v>ƏDV</v>
      </c>
      <c r="C35" s="57"/>
      <c r="D35" s="46"/>
      <c r="E35" s="46"/>
      <c r="F35" s="46"/>
      <c r="G35" s="46"/>
      <c r="H35" s="46"/>
      <c r="I35" s="46"/>
      <c r="J35" s="46"/>
      <c r="K35" s="46"/>
      <c r="L35" s="46"/>
      <c r="M35" s="65"/>
      <c r="N35" s="65"/>
      <c r="O35" s="65"/>
      <c r="P35" s="65"/>
      <c r="Q35" s="64"/>
      <c r="R35" s="64"/>
      <c r="S35" s="64"/>
    </row>
    <row r="36" spans="1:19" s="63" customFormat="1" outlineLevel="1">
      <c r="A36" s="46"/>
      <c r="B36" s="48" t="str">
        <f>IF(Languages!$B$1=1,Languages!A41,IF(Languages!$B$1=2,Languages!B41,IF(Languages!$B$1=3,Languages!C41)))</f>
        <v>Mənbədən vergi</v>
      </c>
      <c r="C36" s="57"/>
      <c r="D36" s="46"/>
      <c r="E36" s="46"/>
      <c r="F36" s="46"/>
      <c r="G36" s="46"/>
      <c r="H36" s="46"/>
      <c r="I36" s="46"/>
      <c r="J36" s="46"/>
      <c r="K36" s="46"/>
      <c r="L36" s="46"/>
      <c r="M36" s="65"/>
      <c r="N36" s="65"/>
      <c r="O36" s="65"/>
      <c r="P36" s="65"/>
      <c r="Q36" s="64"/>
      <c r="R36" s="64"/>
      <c r="S36" s="64"/>
    </row>
    <row r="37" spans="1:19" s="63" customFormat="1" outlineLevel="1">
      <c r="A37" s="46"/>
      <c r="B37" s="48" t="str">
        <f>IF(Languages!$B$1=1,Languages!A42,IF(Languages!$B$1=2,Languages!B42,IF(Languages!$B$1=3,Languages!C42)))</f>
        <v>Sair</v>
      </c>
      <c r="C37" s="57"/>
      <c r="D37" s="46"/>
      <c r="E37" s="46"/>
      <c r="F37" s="46"/>
      <c r="G37" s="46"/>
      <c r="H37" s="46"/>
      <c r="I37" s="46"/>
      <c r="J37" s="46"/>
      <c r="K37" s="46"/>
      <c r="L37" s="46"/>
      <c r="M37" s="65"/>
      <c r="N37" s="65"/>
      <c r="O37" s="65"/>
      <c r="P37" s="65"/>
      <c r="Q37" s="64"/>
      <c r="R37" s="64"/>
      <c r="S37" s="64"/>
    </row>
    <row r="38" spans="1:19" s="63" customFormat="1" outlineLevel="1">
      <c r="A38" s="46"/>
      <c r="B38" s="48" t="str">
        <f>IF(Languages!$B$1=1,Languages!A43,IF(Languages!$B$1=2,Languages!B43,IF(Languages!$B$1=3,Languages!C43)))</f>
        <v>Sığorta xərcləri</v>
      </c>
      <c r="C38" s="104"/>
      <c r="D38" s="46"/>
      <c r="E38" s="46"/>
      <c r="F38" s="46"/>
      <c r="G38" s="46"/>
      <c r="H38" s="46"/>
      <c r="I38" s="46"/>
      <c r="J38" s="46"/>
      <c r="K38" s="46"/>
      <c r="L38" s="46"/>
      <c r="M38" s="65"/>
      <c r="N38" s="65"/>
      <c r="O38" s="65"/>
      <c r="P38" s="65"/>
      <c r="Q38" s="64"/>
      <c r="R38" s="64"/>
      <c r="S38" s="64"/>
    </row>
    <row r="39" spans="1:19" s="63" customFormat="1" outlineLevel="1">
      <c r="A39" s="46"/>
      <c r="B39" s="48" t="str">
        <f>IF(Languages!$B$1=1,Languages!A44,IF(Languages!$B$1=2,Languages!B44,IF(Languages!$B$1=3,Languages!C44)))</f>
        <v>Qeydiyyat xərcləri</v>
      </c>
      <c r="C39" s="57"/>
      <c r="D39" s="46"/>
      <c r="E39" s="46"/>
      <c r="F39" s="46"/>
      <c r="G39" s="46"/>
      <c r="H39" s="46"/>
      <c r="I39" s="46"/>
      <c r="J39" s="46"/>
      <c r="K39" s="46"/>
      <c r="L39" s="46"/>
      <c r="M39" s="65"/>
      <c r="N39" s="65"/>
      <c r="O39" s="65"/>
      <c r="P39" s="65"/>
      <c r="Q39" s="64"/>
      <c r="R39" s="64"/>
      <c r="S39" s="64"/>
    </row>
    <row r="40" spans="1:19" s="63" customFormat="1" outlineLevel="1">
      <c r="A40" s="46"/>
      <c r="B40" s="48" t="str">
        <f>IF(Languages!$B$1=1,Languages!A45,IF(Languages!$B$1=2,Languages!B45,IF(Languages!$B$1=3,Languages!C45)))</f>
        <v>Kredit xərcləri</v>
      </c>
      <c r="C40" s="57"/>
      <c r="D40" s="46"/>
      <c r="E40" s="46"/>
      <c r="F40" s="46"/>
      <c r="G40" s="46"/>
      <c r="H40" s="46"/>
      <c r="I40" s="46"/>
      <c r="J40" s="46"/>
      <c r="K40" s="46"/>
      <c r="L40" s="46"/>
      <c r="M40" s="65"/>
      <c r="N40" s="65"/>
      <c r="O40" s="65"/>
      <c r="P40" s="65"/>
      <c r="Q40" s="64"/>
      <c r="R40" s="64"/>
      <c r="S40" s="64"/>
    </row>
    <row r="41" spans="1:19" s="63" customFormat="1" outlineLevel="1">
      <c r="A41" s="46"/>
      <c r="B41" s="48" t="str">
        <f>IF(Languages!$B$1=1,Languages!A46,IF(Languages!$B$1=2,Languages!B46,IF(Languages!$B$1=3,Languages!C46)))</f>
        <v>Servis haqqı</v>
      </c>
      <c r="C41" s="57"/>
      <c r="D41" s="46"/>
      <c r="E41" s="46"/>
      <c r="F41" s="46"/>
      <c r="G41" s="46"/>
      <c r="H41" s="46"/>
      <c r="I41" s="46"/>
      <c r="J41" s="46"/>
      <c r="K41" s="46"/>
      <c r="L41" s="46"/>
      <c r="M41" s="65"/>
      <c r="N41" s="65"/>
      <c r="O41" s="65"/>
      <c r="P41" s="65"/>
      <c r="Q41" s="64"/>
      <c r="R41" s="64"/>
      <c r="S41" s="64"/>
    </row>
    <row r="42" spans="1:19" s="63" customFormat="1" outlineLevel="1">
      <c r="A42" s="46"/>
      <c r="B42" s="48" t="str">
        <f>IF(Languages!$B$1=1,Languages!A48,IF(Languages!$B$1=2,Languages!B47,IF(Languages!$B$1=3,Languages!C47)))</f>
        <v>Diqər xərclər</v>
      </c>
      <c r="C42" s="57"/>
      <c r="D42" s="46"/>
      <c r="E42" s="46"/>
      <c r="F42" s="46"/>
      <c r="G42" s="46"/>
      <c r="H42" s="46"/>
      <c r="I42" s="46"/>
      <c r="J42" s="46"/>
      <c r="K42" s="46"/>
      <c r="L42" s="46"/>
      <c r="M42" s="65"/>
      <c r="N42" s="65"/>
      <c r="O42" s="65"/>
      <c r="P42" s="65"/>
      <c r="Q42" s="64"/>
      <c r="R42" s="64"/>
      <c r="S42" s="64"/>
    </row>
    <row r="43" spans="1:19" s="63" customFormat="1" outlineLevel="1">
      <c r="A43" s="46"/>
      <c r="B43" s="48" t="str">
        <f>IF(Languages!$B$1=1,Languages!A47,IF(Languages!$B$1=2,Languages!B48,IF(Languages!$B$1=3,Languages!C48)))</f>
        <v>Monitorinq xərcləri</v>
      </c>
      <c r="C43" s="57"/>
      <c r="D43" s="46"/>
      <c r="E43" s="46"/>
      <c r="F43" s="46"/>
      <c r="G43" s="46"/>
      <c r="H43" s="46"/>
      <c r="I43" s="46"/>
      <c r="J43" s="46"/>
      <c r="K43" s="46"/>
      <c r="L43" s="46"/>
      <c r="M43" s="65"/>
      <c r="N43" s="65"/>
      <c r="O43" s="65"/>
      <c r="P43" s="65"/>
      <c r="Q43" s="64"/>
      <c r="R43" s="64"/>
      <c r="S43" s="64"/>
    </row>
    <row r="44" spans="1:19" s="63" customFormat="1" outlineLevel="1">
      <c r="A44" s="46"/>
      <c r="B44" s="48" t="str">
        <f>IF(Languages!B1=1,Languages!A127,IF(Languages!B1=2,Languages!B127,IF(Languages!B1=3,Languages!C127)))</f>
        <v>Avadanlıq qalığının satışı</v>
      </c>
      <c r="C44" s="57"/>
      <c r="D44" s="46"/>
      <c r="E44" s="46"/>
      <c r="F44" s="46"/>
      <c r="G44" s="46"/>
      <c r="H44" s="46"/>
      <c r="I44" s="46"/>
      <c r="J44" s="46"/>
      <c r="K44" s="46"/>
      <c r="L44" s="46"/>
      <c r="M44" s="65"/>
      <c r="N44" s="65"/>
      <c r="O44" s="65"/>
      <c r="P44" s="65"/>
      <c r="Q44" s="64"/>
      <c r="R44" s="64"/>
      <c r="S44" s="64"/>
    </row>
    <row r="45" spans="1:19" s="63" customFormat="1" outlineLevel="1">
      <c r="A45" s="46"/>
      <c r="B45" s="48" t="str">
        <f>IF(Languages!B1=1,Languages!A128,IF(Languages!B1=2,Languages!B128,IF(Languages!B1=3,Languages!C128)))</f>
        <v>Digər</v>
      </c>
      <c r="C45" s="57"/>
      <c r="D45" s="46"/>
      <c r="E45" s="46"/>
      <c r="F45" s="46"/>
      <c r="G45" s="46"/>
      <c r="H45" s="46"/>
      <c r="I45" s="46"/>
      <c r="J45" s="46"/>
      <c r="K45" s="46"/>
      <c r="L45" s="46"/>
      <c r="M45" s="65"/>
      <c r="N45" s="65"/>
      <c r="O45" s="65"/>
      <c r="P45" s="65"/>
      <c r="Q45" s="64"/>
      <c r="R45" s="64"/>
      <c r="S45" s="64"/>
    </row>
    <row r="46" spans="1:19" s="62" customFormat="1">
      <c r="A46" s="61"/>
      <c r="B46" s="61"/>
      <c r="D46" s="46"/>
      <c r="E46" s="46"/>
      <c r="F46" s="46"/>
      <c r="G46" s="46"/>
      <c r="H46" s="46"/>
      <c r="I46" s="46"/>
      <c r="J46" s="46"/>
      <c r="K46" s="46"/>
      <c r="L46" s="46"/>
      <c r="M46" s="65"/>
      <c r="N46" s="65"/>
      <c r="O46" s="65"/>
      <c r="P46" s="65"/>
      <c r="Q46" s="65"/>
      <c r="R46" s="65"/>
      <c r="S46" s="65"/>
    </row>
    <row r="47" spans="1:19" s="62" customFormat="1">
      <c r="A47" s="61"/>
      <c r="B47" s="87" t="str">
        <f>IF(Languages!$B$1=1,Languages!A43,IF(Languages!$B$1=2,Languages!B43,IF(Languages!$B$1=3,Languages!C43)))</f>
        <v>Sığorta xərcləri</v>
      </c>
      <c r="C47" s="88"/>
      <c r="D47" s="46"/>
      <c r="E47" s="46"/>
      <c r="F47" s="46"/>
      <c r="G47" s="46"/>
      <c r="H47" s="46"/>
      <c r="I47" s="46"/>
      <c r="J47" s="46"/>
      <c r="K47" s="46"/>
      <c r="L47" s="46"/>
      <c r="M47" s="65"/>
      <c r="N47" s="65"/>
      <c r="O47" s="65"/>
      <c r="P47" s="65"/>
      <c r="Q47" s="65"/>
      <c r="R47" s="65"/>
      <c r="S47" s="65"/>
    </row>
    <row r="48" spans="1:19" s="62" customFormat="1">
      <c r="A48" s="61"/>
      <c r="B48" s="61"/>
      <c r="D48" s="46"/>
      <c r="E48" s="46"/>
      <c r="F48" s="46"/>
      <c r="G48" s="46"/>
      <c r="H48" s="46"/>
      <c r="I48" s="46"/>
      <c r="J48" s="46"/>
      <c r="K48" s="46"/>
      <c r="L48" s="46"/>
      <c r="M48" s="65"/>
      <c r="N48" s="65"/>
      <c r="O48" s="65"/>
      <c r="P48" s="65"/>
      <c r="Q48" s="65"/>
      <c r="R48" s="65"/>
      <c r="S48" s="65"/>
    </row>
    <row r="49" spans="2:18" ht="16.5" customHeight="1">
      <c r="B49" s="49" t="str">
        <f>IF(Languages!$B$1=1,Languages!A53,IF(Languages!$B$1=2,Languages!B53,IF(Languages!$B$1=3,Languages!C54)))</f>
        <v>Lizinq alan</v>
      </c>
      <c r="C49" s="13"/>
    </row>
    <row r="50" spans="2:18" outlineLevel="1">
      <c r="B50" s="49" t="str">
        <f>IF(Languages!$B$52=2,Languages!B75,"")</f>
        <v/>
      </c>
      <c r="C50" s="102"/>
    </row>
    <row r="51" spans="2:18" outlineLevel="1">
      <c r="B51" s="49" t="str">
        <f>IF(Languages!$B$52=1,Languages!B72,Languages!B76)</f>
        <v>Adı</v>
      </c>
      <c r="C51" s="102" t="s">
        <v>262</v>
      </c>
    </row>
    <row r="52" spans="2:18" outlineLevel="1">
      <c r="B52" s="49" t="str">
        <f>IF(Languages!$B$52=1,Languages!B73,Languages!B77)</f>
        <v>Soyadı</v>
      </c>
      <c r="C52" s="102" t="s">
        <v>263</v>
      </c>
    </row>
    <row r="53" spans="2:18" outlineLevel="1">
      <c r="B53" s="49" t="str">
        <f>IF(Languages!$B$52=1,Languages!B74,Languages!B78)</f>
        <v>Atasının adı</v>
      </c>
      <c r="C53" s="102" t="s">
        <v>264</v>
      </c>
    </row>
    <row r="54" spans="2:18" outlineLevel="1">
      <c r="B54" s="49" t="str">
        <f>IF(Languages!B1=1,Languages!A63,IF(Languages!B1=2,Languages!B63,IF(Languages!B1=3,Languages!C63)))</f>
        <v>VÖEN</v>
      </c>
      <c r="C54" s="58"/>
    </row>
    <row r="55" spans="2:18">
      <c r="B55" s="46"/>
      <c r="C55" s="45"/>
    </row>
    <row r="56" spans="2:18">
      <c r="B56" s="46"/>
      <c r="C56" s="45"/>
    </row>
    <row r="57" spans="2:18">
      <c r="B57" s="46"/>
      <c r="C57" s="45"/>
      <c r="R57" s="64"/>
    </row>
    <row r="58" spans="2:18">
      <c r="B58" s="46"/>
      <c r="C58" s="45"/>
    </row>
    <row r="59" spans="2:18">
      <c r="B59" s="46"/>
      <c r="C59" s="45"/>
    </row>
    <row r="60" spans="2:18">
      <c r="B60" s="46"/>
      <c r="C60" s="45"/>
    </row>
    <row r="61" spans="2:18">
      <c r="B61" s="46"/>
      <c r="C61" s="45"/>
    </row>
    <row r="62" spans="2:18">
      <c r="B62" s="46"/>
      <c r="C62" s="45"/>
    </row>
    <row r="63" spans="2:18">
      <c r="B63" s="46"/>
      <c r="C63" s="45"/>
    </row>
    <row r="64" spans="2:18">
      <c r="B64" s="46"/>
      <c r="C64" s="45"/>
    </row>
    <row r="65" spans="2:3">
      <c r="B65" s="46"/>
      <c r="C65" s="45"/>
    </row>
    <row r="66" spans="2:3">
      <c r="B66" s="46"/>
      <c r="C66" s="45"/>
    </row>
    <row r="67" spans="2:3">
      <c r="B67" s="46"/>
      <c r="C67" s="45"/>
    </row>
    <row r="68" spans="2:3">
      <c r="B68" s="46"/>
      <c r="C68" s="45"/>
    </row>
    <row r="69" spans="2:3">
      <c r="B69" s="46"/>
      <c r="C69" s="45"/>
    </row>
    <row r="70" spans="2:3">
      <c r="B70" s="46"/>
      <c r="C70" s="45"/>
    </row>
    <row r="71" spans="2:3">
      <c r="B71" s="46"/>
      <c r="C71" s="45"/>
    </row>
    <row r="72" spans="2:3">
      <c r="B72" s="46"/>
      <c r="C72" s="45"/>
    </row>
    <row r="73" spans="2:3">
      <c r="B73" s="46"/>
      <c r="C73" s="45"/>
    </row>
    <row r="74" spans="2:3">
      <c r="B74" s="46"/>
      <c r="C74" s="45"/>
    </row>
    <row r="75" spans="2:3">
      <c r="B75" s="46"/>
      <c r="C75" s="45"/>
    </row>
    <row r="76" spans="2:3">
      <c r="B76" s="46"/>
      <c r="C76" s="45"/>
    </row>
    <row r="77" spans="2:3">
      <c r="B77" s="46"/>
      <c r="C77" s="45"/>
    </row>
    <row r="78" spans="2:3">
      <c r="B78" s="46"/>
      <c r="C78" s="45"/>
    </row>
    <row r="79" spans="2:3">
      <c r="B79" s="46"/>
      <c r="C79" s="45"/>
    </row>
    <row r="80" spans="2:3">
      <c r="B80" s="46"/>
      <c r="C80" s="45"/>
    </row>
    <row r="81" spans="2:3">
      <c r="B81" s="46"/>
      <c r="C81" s="45"/>
    </row>
    <row r="82" spans="2:3">
      <c r="B82" s="46"/>
      <c r="C82" s="45"/>
    </row>
    <row r="83" spans="2:3">
      <c r="B83" s="46"/>
      <c r="C83" s="45"/>
    </row>
    <row r="84" spans="2:3">
      <c r="B84" s="46"/>
      <c r="C84" s="45"/>
    </row>
    <row r="85" spans="2:3">
      <c r="B85" s="46"/>
      <c r="C85" s="45"/>
    </row>
    <row r="86" spans="2:3">
      <c r="B86" s="46"/>
      <c r="C86" s="45"/>
    </row>
    <row r="87" spans="2:3">
      <c r="B87" s="46"/>
      <c r="C87" s="45"/>
    </row>
    <row r="88" spans="2:3">
      <c r="B88" s="46"/>
      <c r="C88" s="45"/>
    </row>
    <row r="89" spans="2:3">
      <c r="B89" s="46"/>
      <c r="C89" s="45"/>
    </row>
    <row r="90" spans="2:3">
      <c r="B90" s="46"/>
      <c r="C90" s="45"/>
    </row>
    <row r="91" spans="2:3">
      <c r="B91" s="46"/>
      <c r="C91" s="45"/>
    </row>
    <row r="92" spans="2:3">
      <c r="B92" s="46"/>
      <c r="C92" s="45"/>
    </row>
    <row r="93" spans="2:3">
      <c r="B93" s="46"/>
      <c r="C93" s="45"/>
    </row>
    <row r="94" spans="2:3">
      <c r="B94" s="46"/>
      <c r="C94" s="45"/>
    </row>
    <row r="95" spans="2:3">
      <c r="B95" s="46"/>
      <c r="C95" s="45"/>
    </row>
    <row r="96" spans="2:3">
      <c r="B96" s="46"/>
      <c r="C96" s="45"/>
    </row>
    <row r="97" spans="2:3">
      <c r="B97" s="46"/>
      <c r="C97" s="45"/>
    </row>
    <row r="98" spans="2:3">
      <c r="B98" s="46"/>
      <c r="C98" s="45"/>
    </row>
    <row r="99" spans="2:3">
      <c r="B99" s="46"/>
      <c r="C99" s="45"/>
    </row>
    <row r="100" spans="2:3">
      <c r="B100" s="46"/>
      <c r="C100" s="45"/>
    </row>
    <row r="101" spans="2:3">
      <c r="B101" s="46"/>
      <c r="C101" s="45"/>
    </row>
    <row r="102" spans="2:3">
      <c r="B102" s="46"/>
      <c r="C102" s="45"/>
    </row>
    <row r="103" spans="2:3">
      <c r="B103" s="46"/>
      <c r="C103" s="45"/>
    </row>
    <row r="104" spans="2:3">
      <c r="B104" s="46"/>
      <c r="C104" s="45"/>
    </row>
    <row r="105" spans="2:3">
      <c r="B105" s="46"/>
      <c r="C105" s="45"/>
    </row>
    <row r="106" spans="2:3">
      <c r="B106" s="46"/>
      <c r="C106" s="45"/>
    </row>
    <row r="107" spans="2:3">
      <c r="B107" s="46"/>
      <c r="C107" s="45"/>
    </row>
    <row r="108" spans="2:3">
      <c r="B108" s="46"/>
      <c r="C108" s="45"/>
    </row>
    <row r="109" spans="2:3">
      <c r="B109" s="46"/>
      <c r="C109" s="45"/>
    </row>
    <row r="110" spans="2:3">
      <c r="B110" s="46"/>
      <c r="C110" s="45"/>
    </row>
    <row r="111" spans="2:3">
      <c r="B111" s="46"/>
      <c r="C111" s="45"/>
    </row>
    <row r="112" spans="2:3">
      <c r="B112" s="46"/>
      <c r="C112" s="45"/>
    </row>
    <row r="113" spans="2:3">
      <c r="B113" s="46"/>
      <c r="C113" s="45"/>
    </row>
    <row r="114" spans="2:3">
      <c r="B114" s="46"/>
      <c r="C114" s="45"/>
    </row>
    <row r="115" spans="2:3">
      <c r="B115" s="46"/>
      <c r="C115" s="45"/>
    </row>
    <row r="116" spans="2:3">
      <c r="B116" s="46"/>
      <c r="C116" s="45"/>
    </row>
    <row r="117" spans="2:3">
      <c r="B117" s="46"/>
      <c r="C117" s="45"/>
    </row>
    <row r="118" spans="2:3">
      <c r="B118" s="46"/>
      <c r="C118" s="45"/>
    </row>
    <row r="119" spans="2:3">
      <c r="B119" s="46"/>
      <c r="C119" s="45"/>
    </row>
    <row r="120" spans="2:3">
      <c r="B120" s="46"/>
      <c r="C120" s="45"/>
    </row>
    <row r="121" spans="2:3">
      <c r="B121" s="46"/>
      <c r="C121" s="45"/>
    </row>
    <row r="122" spans="2:3">
      <c r="B122" s="46"/>
      <c r="C122" s="45"/>
    </row>
    <row r="123" spans="2:3">
      <c r="B123" s="46"/>
      <c r="C123" s="45"/>
    </row>
    <row r="124" spans="2:3">
      <c r="B124" s="46"/>
      <c r="C124" s="45"/>
    </row>
    <row r="125" spans="2:3">
      <c r="B125" s="46"/>
      <c r="C125" s="45"/>
    </row>
    <row r="126" spans="2:3">
      <c r="B126" s="46"/>
      <c r="C126" s="45"/>
    </row>
    <row r="127" spans="2:3">
      <c r="B127" s="46"/>
      <c r="C127" s="45"/>
    </row>
    <row r="128" spans="2:3">
      <c r="B128" s="46"/>
      <c r="C128" s="45"/>
    </row>
    <row r="129" spans="2:3">
      <c r="B129" s="46"/>
      <c r="C129" s="45"/>
    </row>
    <row r="130" spans="2:3">
      <c r="B130" s="46"/>
      <c r="C130" s="45"/>
    </row>
    <row r="131" spans="2:3">
      <c r="B131" s="46"/>
      <c r="C131" s="45"/>
    </row>
    <row r="132" spans="2:3">
      <c r="B132" s="46"/>
      <c r="C132" s="45"/>
    </row>
    <row r="133" spans="2:3">
      <c r="B133" s="46"/>
      <c r="C133" s="45"/>
    </row>
    <row r="134" spans="2:3">
      <c r="B134" s="46"/>
      <c r="C134" s="45"/>
    </row>
    <row r="135" spans="2:3">
      <c r="B135" s="46"/>
      <c r="C135" s="45"/>
    </row>
    <row r="136" spans="2:3">
      <c r="B136" s="46"/>
      <c r="C136" s="45"/>
    </row>
    <row r="137" spans="2:3">
      <c r="B137" s="46"/>
      <c r="C137" s="45"/>
    </row>
    <row r="138" spans="2:3">
      <c r="B138" s="46"/>
      <c r="C138" s="45"/>
    </row>
    <row r="139" spans="2:3">
      <c r="B139" s="46"/>
      <c r="C139" s="45"/>
    </row>
    <row r="140" spans="2:3">
      <c r="B140" s="46"/>
      <c r="C140" s="45"/>
    </row>
    <row r="141" spans="2:3">
      <c r="B141" s="46"/>
      <c r="C141" s="45"/>
    </row>
    <row r="142" spans="2:3">
      <c r="B142" s="46"/>
      <c r="C142" s="45"/>
    </row>
    <row r="143" spans="2:3">
      <c r="B143" s="46"/>
      <c r="C143" s="45"/>
    </row>
    <row r="144" spans="2:3">
      <c r="B144" s="46"/>
      <c r="C144" s="45"/>
    </row>
    <row r="145" spans="2:3">
      <c r="B145" s="46"/>
      <c r="C145" s="45"/>
    </row>
    <row r="146" spans="2:3">
      <c r="B146" s="46"/>
      <c r="C146" s="45"/>
    </row>
    <row r="147" spans="2:3">
      <c r="B147" s="46"/>
      <c r="C147" s="45"/>
    </row>
    <row r="148" spans="2:3">
      <c r="B148" s="46"/>
      <c r="C148" s="45"/>
    </row>
    <row r="149" spans="2:3">
      <c r="B149" s="46"/>
      <c r="C149" s="45"/>
    </row>
    <row r="150" spans="2:3">
      <c r="B150" s="46"/>
      <c r="C150" s="45"/>
    </row>
    <row r="151" spans="2:3">
      <c r="B151" s="46"/>
      <c r="C151" s="45"/>
    </row>
    <row r="152" spans="2:3">
      <c r="B152" s="46"/>
      <c r="C152" s="45"/>
    </row>
    <row r="153" spans="2:3">
      <c r="B153" s="46"/>
      <c r="C153" s="45"/>
    </row>
    <row r="154" spans="2:3">
      <c r="B154" s="46"/>
      <c r="C154" s="45"/>
    </row>
    <row r="155" spans="2:3">
      <c r="B155" s="46"/>
      <c r="C155" s="45"/>
    </row>
    <row r="156" spans="2:3">
      <c r="B156" s="46"/>
      <c r="C156" s="45"/>
    </row>
    <row r="157" spans="2:3">
      <c r="B157" s="46"/>
      <c r="C157" s="45"/>
    </row>
    <row r="158" spans="2:3">
      <c r="B158" s="46"/>
      <c r="C158" s="45"/>
    </row>
    <row r="159" spans="2:3">
      <c r="B159" s="46"/>
      <c r="C159" s="45"/>
    </row>
    <row r="160" spans="2:3">
      <c r="B160" s="46"/>
      <c r="C160" s="45"/>
    </row>
    <row r="161" spans="2:3">
      <c r="B161" s="46"/>
      <c r="C161" s="45"/>
    </row>
    <row r="162" spans="2:3">
      <c r="B162" s="46"/>
      <c r="C162" s="45"/>
    </row>
    <row r="163" spans="2:3">
      <c r="B163" s="46"/>
      <c r="C163" s="45"/>
    </row>
    <row r="164" spans="2:3">
      <c r="B164" s="46"/>
      <c r="C164" s="45"/>
    </row>
    <row r="165" spans="2:3">
      <c r="B165" s="46"/>
      <c r="C165" s="45"/>
    </row>
    <row r="166" spans="2:3">
      <c r="B166" s="46"/>
      <c r="C166" s="45"/>
    </row>
    <row r="167" spans="2:3">
      <c r="B167" s="46"/>
      <c r="C167" s="45"/>
    </row>
    <row r="168" spans="2:3">
      <c r="B168" s="46"/>
      <c r="C168" s="45"/>
    </row>
    <row r="169" spans="2:3">
      <c r="B169" s="46"/>
      <c r="C169" s="45"/>
    </row>
    <row r="170" spans="2:3">
      <c r="B170" s="46"/>
      <c r="C170" s="45"/>
    </row>
    <row r="171" spans="2:3">
      <c r="B171" s="46"/>
      <c r="C171" s="45"/>
    </row>
    <row r="172" spans="2:3">
      <c r="B172" s="46"/>
      <c r="C172" s="45"/>
    </row>
    <row r="173" spans="2:3">
      <c r="B173" s="46"/>
      <c r="C173" s="45"/>
    </row>
    <row r="174" spans="2:3">
      <c r="B174" s="46"/>
      <c r="C174" s="45"/>
    </row>
    <row r="175" spans="2:3">
      <c r="B175" s="46"/>
      <c r="C175" s="45"/>
    </row>
    <row r="176" spans="2:3">
      <c r="B176" s="46"/>
      <c r="C176" s="45"/>
    </row>
    <row r="177" spans="2:3">
      <c r="B177" s="46"/>
      <c r="C177" s="45"/>
    </row>
    <row r="178" spans="2:3">
      <c r="B178" s="46"/>
      <c r="C178" s="45"/>
    </row>
    <row r="179" spans="2:3">
      <c r="B179" s="46"/>
      <c r="C179" s="45"/>
    </row>
    <row r="180" spans="2:3">
      <c r="B180" s="46"/>
      <c r="C180" s="45"/>
    </row>
    <row r="181" spans="2:3">
      <c r="B181" s="46"/>
      <c r="C181" s="45"/>
    </row>
    <row r="182" spans="2:3">
      <c r="B182" s="46"/>
      <c r="C182" s="45"/>
    </row>
    <row r="183" spans="2:3">
      <c r="B183" s="46"/>
      <c r="C183" s="45"/>
    </row>
    <row r="184" spans="2:3">
      <c r="B184" s="46"/>
      <c r="C184" s="45"/>
    </row>
    <row r="185" spans="2:3">
      <c r="B185" s="46"/>
      <c r="C185" s="45"/>
    </row>
    <row r="186" spans="2:3">
      <c r="B186" s="46"/>
      <c r="C186" s="45"/>
    </row>
    <row r="187" spans="2:3">
      <c r="B187" s="46"/>
      <c r="C187" s="45"/>
    </row>
    <row r="188" spans="2:3">
      <c r="B188" s="46"/>
      <c r="C188" s="45"/>
    </row>
    <row r="189" spans="2:3">
      <c r="B189" s="46"/>
      <c r="C189" s="45"/>
    </row>
    <row r="190" spans="2:3">
      <c r="B190" s="46"/>
      <c r="C190" s="45"/>
    </row>
    <row r="191" spans="2:3">
      <c r="B191" s="46"/>
      <c r="C191" s="45"/>
    </row>
    <row r="192" spans="2:3">
      <c r="B192" s="46"/>
      <c r="C192" s="45"/>
    </row>
    <row r="193" spans="2:3">
      <c r="B193" s="46"/>
      <c r="C193" s="45"/>
    </row>
    <row r="194" spans="2:3">
      <c r="B194" s="46"/>
      <c r="C194" s="45"/>
    </row>
    <row r="195" spans="2:3">
      <c r="B195" s="46"/>
      <c r="C195" s="45"/>
    </row>
    <row r="196" spans="2:3">
      <c r="B196" s="46"/>
      <c r="C196" s="45"/>
    </row>
    <row r="197" spans="2:3">
      <c r="B197" s="46"/>
      <c r="C197" s="45"/>
    </row>
  </sheetData>
  <sheetProtection formatCells="0" formatRows="0" insertColumns="0" insertRows="0" insertHyperlinks="0" deleteColumns="0" deleteRows="0" selectLockedCells="1" selectUnlockedCells="1"/>
  <protectedRanges>
    <protectedRange sqref="A20:D48" name="Range1"/>
  </protectedRanges>
  <customSheetViews>
    <customSheetView guid="{2D8FE04E-10B5-4EAA-93D2-EE669C206AFD}" topLeftCell="A10">
      <selection activeCell="I21" sqref="I21"/>
      <pageMargins left="0.75" right="0.75" top="1" bottom="1" header="0.5" footer="0.5"/>
      <pageSetup paperSize="9" orientation="portrait" r:id="rId1"/>
      <headerFooter alignWithMargins="0"/>
    </customSheetView>
    <customSheetView guid="{5171270A-F9AF-4D41-A7C6-60AFF57C569E}" showPageBreaks="1" topLeftCell="A10">
      <selection activeCell="D12" sqref="D12"/>
      <pageMargins left="0.75" right="0.75" top="1" bottom="1" header="0.5" footer="0.5"/>
      <pageSetup paperSize="9" orientation="portrait" r:id="rId2"/>
      <headerFooter alignWithMargins="0"/>
    </customSheetView>
    <customSheetView guid="{13FA8F4C-0951-4875-9D44-4989C5CEBB01}">
      <selection activeCell="C38" sqref="C38"/>
      <pageMargins left="0.75" right="0.75" top="1" bottom="1" header="0.5" footer="0.5"/>
      <pageSetup paperSize="9" orientation="portrait" r:id="rId3"/>
      <headerFooter alignWithMargins="0"/>
    </customSheetView>
    <customSheetView guid="{77B961DF-431A-4785-A57B-FF1BA0586569}" showRuler="0">
      <selection activeCell="D24" sqref="D24"/>
      <pageMargins left="0.75" right="0.75" top="1" bottom="1" header="0.5" footer="0.5"/>
      <pageSetup paperSize="9" orientation="portrait" r:id="rId4"/>
      <headerFooter alignWithMargins="0"/>
    </customSheetView>
    <customSheetView guid="{AD887635-810A-407C-BA16-5AFA4A800B29}" showRuler="0">
      <selection activeCell="K11" sqref="K11"/>
      <pageMargins left="0.75" right="0.75" top="1" bottom="1" header="0.5" footer="0.5"/>
      <pageSetup paperSize="9" orientation="portrait" r:id="rId5"/>
      <headerFooter alignWithMargins="0"/>
    </customSheetView>
    <customSheetView guid="{C56ABC15-C776-4280-9985-F20AC3F66C8A}" showPageBreaks="1">
      <selection activeCell="C6" sqref="C6"/>
      <pageMargins left="0.75" right="0.75" top="1" bottom="1" header="0.5" footer="0.5"/>
      <pageSetup paperSize="9" orientation="portrait" r:id="rId6"/>
      <headerFooter alignWithMargins="0"/>
    </customSheetView>
  </customSheetViews>
  <phoneticPr fontId="2" type="noConversion"/>
  <pageMargins left="0.75" right="0.75" top="1" bottom="1" header="0.5" footer="0.5"/>
  <pageSetup paperSize="9" orientation="portrait" r:id="rId7"/>
  <headerFooter alignWithMargins="0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10" name="Drop Down 1">
              <controlPr defaultSize="0" print="0" autoLine="0" autoPict="0">
                <anchor moveWithCells="1">
                  <from>
                    <xdr:col>2</xdr:col>
                    <xdr:colOff>0</xdr:colOff>
                    <xdr:row>48</xdr:row>
                    <xdr:rowOff>0</xdr:rowOff>
                  </from>
                  <to>
                    <xdr:col>4</xdr:col>
                    <xdr:colOff>228600</xdr:colOff>
                    <xdr:row>48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11" name="Drop Down 2">
              <controlPr defaultSize="0" autoLine="0" autoPict="0">
                <anchor>
                  <from>
                    <xdr:col>2</xdr:col>
                    <xdr:colOff>0</xdr:colOff>
                    <xdr:row>17</xdr:row>
                    <xdr:rowOff>161925</xdr:rowOff>
                  </from>
                  <to>
                    <xdr:col>4</xdr:col>
                    <xdr:colOff>228600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2" name="Drop Down 4">
              <controlPr defaultSize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4</xdr:col>
                    <xdr:colOff>228600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3" name="Drop Down 6">
              <controlPr defaultSize="0" print="0" autoLine="0" autoPict="0">
                <anchor moveWithCells="1">
                  <from>
                    <xdr:col>2</xdr:col>
                    <xdr:colOff>28575</xdr:colOff>
                    <xdr:row>45</xdr:row>
                    <xdr:rowOff>123825</xdr:rowOff>
                  </from>
                  <to>
                    <xdr:col>4</xdr:col>
                    <xdr:colOff>257175</xdr:colOff>
                    <xdr:row>47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0"/>
  <sheetViews>
    <sheetView topLeftCell="A49" zoomScaleNormal="100" workbookViewId="0">
      <selection activeCell="E61" sqref="E61"/>
    </sheetView>
  </sheetViews>
  <sheetFormatPr defaultRowHeight="12.75"/>
  <cols>
    <col min="1" max="1" width="6" style="143" customWidth="1"/>
    <col min="2" max="2" width="9.140625" style="143"/>
    <col min="3" max="3" width="22" style="143" customWidth="1"/>
    <col min="4" max="4" width="21.85546875" style="143" customWidth="1"/>
    <col min="5" max="5" width="10.28515625" style="143" customWidth="1"/>
    <col min="6" max="6" width="14.42578125" style="143" customWidth="1"/>
    <col min="7" max="7" width="11.28515625" style="143" customWidth="1"/>
    <col min="8" max="8" width="17.42578125" style="143" customWidth="1"/>
    <col min="9" max="16384" width="9.140625" style="143"/>
  </cols>
  <sheetData>
    <row r="1" spans="1:8">
      <c r="A1" s="142" t="str">
        <f>Languages!B122&amp;"        "&amp;Languages!B124</f>
        <v>Ödəmə qrafiki : əsas məbləğ və mükafat daxil edilməklə        S-042/14 saylı 02.12.14 tarixli daxili maliyyə lizinq müqaviləsinə Əlavə №3</v>
      </c>
      <c r="E1" s="142"/>
      <c r="G1" s="142"/>
    </row>
    <row r="2" spans="1:8">
      <c r="A2" s="142"/>
      <c r="B2" s="142"/>
      <c r="C2" s="142"/>
      <c r="D2" s="142"/>
      <c r="E2" s="142"/>
      <c r="F2" s="142"/>
      <c r="G2" s="142"/>
      <c r="H2" s="142"/>
    </row>
    <row r="3" spans="1:8" ht="13.5" thickBot="1">
      <c r="A3" s="144"/>
      <c r="B3" s="144"/>
      <c r="C3" s="144"/>
      <c r="D3" s="142"/>
      <c r="E3" s="142"/>
      <c r="F3" s="142"/>
      <c r="G3" s="142"/>
      <c r="H3" s="142"/>
    </row>
    <row r="4" spans="1:8">
      <c r="A4" s="144"/>
      <c r="B4" s="144"/>
      <c r="C4" s="145" t="str">
        <f>Languages!B96</f>
        <v>Lizinq ödənişlərinin ümumi məbləği</v>
      </c>
      <c r="D4" s="146"/>
      <c r="E4" s="147">
        <f>E8+E9+E10+E11+E12+E13</f>
        <v>73052.528349420973</v>
      </c>
      <c r="F4" s="148" t="str">
        <f>Languages!B22</f>
        <v>AZN</v>
      </c>
      <c r="G4" s="149"/>
      <c r="H4" s="150"/>
    </row>
    <row r="5" spans="1:8">
      <c r="A5" s="144"/>
      <c r="B5" s="144"/>
      <c r="C5" s="151"/>
      <c r="D5" s="152" t="str">
        <f>Languages!B116</f>
        <v>daxildir:</v>
      </c>
      <c r="E5" s="153"/>
      <c r="F5" s="154"/>
      <c r="G5" s="149"/>
      <c r="H5" s="150"/>
    </row>
    <row r="6" spans="1:8">
      <c r="A6" s="144"/>
      <c r="B6" s="144"/>
      <c r="C6" s="151"/>
      <c r="D6" s="152" t="str">
        <f>Languages!B100</f>
        <v>Əsas məbləğ</v>
      </c>
      <c r="E6" s="103">
        <f>E8+E9</f>
        <v>52000</v>
      </c>
      <c r="F6" s="154" t="str">
        <f>Languages!B22</f>
        <v>AZN</v>
      </c>
      <c r="G6" s="149"/>
      <c r="H6" s="150"/>
    </row>
    <row r="7" spans="1:8">
      <c r="A7" s="144"/>
      <c r="B7" s="144"/>
      <c r="C7" s="151"/>
      <c r="D7" s="152" t="str">
        <f>Languages!B98</f>
        <v>o cümlədən:</v>
      </c>
      <c r="E7" s="155"/>
      <c r="F7" s="154"/>
      <c r="G7" s="149"/>
      <c r="H7" s="150"/>
    </row>
    <row r="8" spans="1:8">
      <c r="A8" s="144"/>
      <c r="B8" s="144"/>
      <c r="C8" s="151"/>
      <c r="D8" s="152" t="str">
        <f>Languages!B118</f>
        <v xml:space="preserve">       Lizinq verənin vəsaiti</v>
      </c>
      <c r="E8" s="155">
        <f>Load!E20-E9</f>
        <v>52000</v>
      </c>
      <c r="F8" s="154" t="str">
        <f>Languages!B22</f>
        <v>AZN</v>
      </c>
      <c r="G8" s="149"/>
      <c r="H8" s="150"/>
    </row>
    <row r="9" spans="1:8">
      <c r="A9" s="144"/>
      <c r="B9" s="144"/>
      <c r="C9" s="151"/>
      <c r="D9" s="152" t="str">
        <f>Languages!B120</f>
        <v xml:space="preserve">       Lizinq alanın avansı</v>
      </c>
      <c r="E9" s="155">
        <f>Load!E20*Load!C15</f>
        <v>0</v>
      </c>
      <c r="F9" s="154" t="str">
        <f>Languages!B22</f>
        <v>AZN</v>
      </c>
      <c r="G9" s="149"/>
      <c r="H9" s="150"/>
    </row>
    <row r="10" spans="1:8">
      <c r="A10" s="144"/>
      <c r="B10" s="144"/>
      <c r="C10" s="151"/>
      <c r="D10" s="152" t="str">
        <f>Languages!B104</f>
        <v>Mükafat</v>
      </c>
      <c r="E10" s="153">
        <f>SUM(E20:E82)/2-E11</f>
        <v>19492.528349420976</v>
      </c>
      <c r="F10" s="154" t="str">
        <f>Languages!B22</f>
        <v>AZN</v>
      </c>
      <c r="G10" s="149"/>
      <c r="H10" s="156"/>
    </row>
    <row r="11" spans="1:8">
      <c r="A11" s="142"/>
      <c r="B11" s="142"/>
      <c r="C11" s="151"/>
      <c r="D11" s="152" t="str">
        <f>Languages!B106</f>
        <v>Birdəfəlik mükafat</v>
      </c>
      <c r="E11" s="153">
        <f>E20</f>
        <v>1560</v>
      </c>
      <c r="F11" s="154" t="str">
        <f>Languages!B22</f>
        <v>AZN</v>
      </c>
      <c r="G11" s="149"/>
      <c r="H11" s="150"/>
    </row>
    <row r="12" spans="1:8" hidden="1">
      <c r="A12" s="142"/>
      <c r="B12" s="142"/>
      <c r="C12" s="151"/>
      <c r="D12" s="152" t="str">
        <f>Languages!B108</f>
        <v>Sığorta</v>
      </c>
      <c r="E12" s="153">
        <f>Load!C38</f>
        <v>0</v>
      </c>
      <c r="F12" s="154" t="str">
        <f>Languages!B22</f>
        <v>AZN</v>
      </c>
      <c r="G12" s="149"/>
      <c r="H12" s="150"/>
    </row>
    <row r="13" spans="1:8" ht="13.5" thickBot="1">
      <c r="A13" s="142"/>
      <c r="B13" s="142"/>
      <c r="C13" s="157"/>
      <c r="D13" s="158" t="str">
        <f>Languages!B110</f>
        <v>Bank xərcləri</v>
      </c>
      <c r="E13" s="159">
        <f>SUM(Load!C30+Load!C31+Load!C32)</f>
        <v>0</v>
      </c>
      <c r="F13" s="160" t="str">
        <f>Languages!B22</f>
        <v>AZN</v>
      </c>
      <c r="G13" s="149"/>
      <c r="H13" s="150"/>
    </row>
    <row r="14" spans="1:8">
      <c r="A14" s="142"/>
      <c r="B14" s="142"/>
      <c r="C14" s="151"/>
      <c r="D14" s="152" t="str">
        <f>Languages!B112</f>
        <v>Lizinq müddəti</v>
      </c>
      <c r="E14" s="161">
        <f>Load!C7</f>
        <v>36</v>
      </c>
      <c r="F14" s="162" t="str">
        <f>Languages!B93</f>
        <v>Ay</v>
      </c>
      <c r="G14" s="163"/>
      <c r="H14" s="164"/>
    </row>
    <row r="15" spans="1:8" ht="13.5" thickBot="1">
      <c r="A15" s="142"/>
      <c r="B15" s="142"/>
      <c r="C15" s="157"/>
      <c r="D15" s="158" t="str">
        <f>Languages!B114</f>
        <v>Qüzəşt ayları</v>
      </c>
      <c r="E15" s="165">
        <f>Load!C10</f>
        <v>0</v>
      </c>
      <c r="F15" s="166" t="str">
        <f>Languages!B94</f>
        <v>Ay</v>
      </c>
      <c r="G15" s="163"/>
      <c r="H15" s="150"/>
    </row>
    <row r="16" spans="1:8">
      <c r="A16" s="142"/>
      <c r="B16" s="142"/>
      <c r="C16" s="145"/>
      <c r="D16" s="146" t="str">
        <f>Languages!B156</f>
        <v>İllik bahalanma</v>
      </c>
      <c r="E16" s="167">
        <f>(E10+E11)/(E6+(IF(Languages!B165=2,'Mirror for payments'!E12+'Mirror for payments'!E13,0)))/(E14/12)*100</f>
        <v>13.495210480398063</v>
      </c>
      <c r="F16" s="168" t="s">
        <v>223</v>
      </c>
      <c r="G16" s="163"/>
      <c r="H16" s="150"/>
    </row>
    <row r="17" spans="1:8" ht="13.5" thickBot="1">
      <c r="A17" s="142"/>
      <c r="B17" s="142"/>
      <c r="C17" s="157"/>
      <c r="D17" s="158" t="str">
        <f>Languages!B158</f>
        <v>İllik faiz dərəcəsi</v>
      </c>
      <c r="E17" s="169">
        <f>Load!C8*100</f>
        <v>22</v>
      </c>
      <c r="F17" s="166" t="s">
        <v>223</v>
      </c>
      <c r="G17" s="163"/>
      <c r="H17" s="150"/>
    </row>
    <row r="18" spans="1:8" ht="13.5" thickBot="1"/>
    <row r="19" spans="1:8" ht="13.5" thickBot="1">
      <c r="A19" s="170"/>
      <c r="B19" s="170" t="str">
        <f>IF(Languages!$B$1=1,Languages!A134,IF(Languages!$B$1=2,Languages!B134,IF(Languages!$B$1=3,Languages!C134)))</f>
        <v>Tarix</v>
      </c>
      <c r="C19" s="170" t="str">
        <f>IF(Languages!$B$1=1,Languages!A137,IF(Languages!$B$1=2,Languages!B137,IF(Languages!$B$1=3,Languages!C137)))</f>
        <v>Ayın əvvəlinə saldo</v>
      </c>
      <c r="D19" s="171" t="str">
        <f>IF(Languages!$B$1=1,Languages!A138,IF(Languages!$B$1=2,Languages!B138,IF(Languages!$B$1=3,Languages!C138)))</f>
        <v>Ödəniş</v>
      </c>
      <c r="E19" s="171" t="str">
        <f>IF(Languages!$B$1=1,Languages!A139,IF(Languages!$B$1=2,Languages!B139,IF(Languages!$B$1=3,Languages!C139)))</f>
        <v>Mükafat</v>
      </c>
      <c r="F19" s="171" t="str">
        <f>IF(Languages!$B$1=1,Languages!A140,IF(Languages!$B$1=2,Languages!B140,IF(Languages!$B$1=3,Languages!C140)))</f>
        <v>Əsas məbləğ</v>
      </c>
      <c r="G19" s="171" t="s">
        <v>88</v>
      </c>
      <c r="H19" s="171" t="str">
        <f>IF(Languages!$B$1=1,Languages!A141,IF(Languages!$B$1=2,Languages!B141,IF(Languages!$B$1=3,Languages!C141)))</f>
        <v>Ssuda üzrə qalıq</v>
      </c>
    </row>
    <row r="20" spans="1:8">
      <c r="A20" s="172" t="str">
        <f>IF(Languages!$B$1=1,Languages!A13,IF(Languages!$B$1=2,Languages!B13,IF(Languages!$B$1=3,Languages!C13)))</f>
        <v>Avans</v>
      </c>
      <c r="B20" s="173" t="str">
        <f>Load!C6</f>
        <v>02.12.14</v>
      </c>
      <c r="C20" s="174"/>
      <c r="D20" s="175">
        <f>IF(E9=0,E20+G20,E9+E20+G20)</f>
        <v>1560</v>
      </c>
      <c r="E20" s="176">
        <f>E8*Load!C16</f>
        <v>1560</v>
      </c>
      <c r="F20" s="176" t="str">
        <f>IF(E9=0,"",E9+0)</f>
        <v/>
      </c>
      <c r="G20" s="176">
        <f>IF(Languages!B165=1,Load!D20-Load!E20,IF(Languages!B165=2,IF(Load!E20&gt;=Load!D20,0,((Load!D20-Load!E20)*Load!C15))))</f>
        <v>0</v>
      </c>
      <c r="H20" s="177">
        <f>IF(F20&gt;0,E4-E9-E11,"")</f>
        <v>71492.528349420973</v>
      </c>
    </row>
    <row r="21" spans="1:8" hidden="1">
      <c r="A21" s="178"/>
      <c r="B21" s="179"/>
      <c r="C21" s="180">
        <f>E8</f>
        <v>52000</v>
      </c>
      <c r="D21" s="181"/>
      <c r="E21" s="180"/>
      <c r="F21" s="180">
        <f>SUM(IF($A21&gt;$E$19,D21-E21,0))</f>
        <v>0</v>
      </c>
      <c r="G21" s="180"/>
      <c r="H21" s="180">
        <f>SUM($C21-$F21)</f>
        <v>52000</v>
      </c>
    </row>
    <row r="22" spans="1:8">
      <c r="A22" s="182">
        <f>1</f>
        <v>1</v>
      </c>
      <c r="B22" s="183" t="str">
        <f>Load!C12</f>
        <v>02.01.15</v>
      </c>
      <c r="C22" s="184">
        <f>H21+Dates!AE2</f>
        <v>52000</v>
      </c>
      <c r="D22" s="185">
        <f>SUM(E22+F22+G22)</f>
        <v>1985.903565261694</v>
      </c>
      <c r="E22" s="184">
        <f>(Load!C8/12)*C22+Load!C9</f>
        <v>953.33333333333337</v>
      </c>
      <c r="F22" s="186">
        <f>IF(E$15&gt;=1,Load!C$11-G22,IF(Languages!B$146=1,Dates!S2,IF(E$14&gt;=Dates!A1,(E$8-Load!$C$11*E$15+Dates!$AF$1)/(E$14-E$15))))</f>
        <v>1032.5702319283605</v>
      </c>
      <c r="G22" s="184">
        <f>IF(Languages!B165=1,0,IF(Languages!B165=2,IF(E$14&gt;=1,(Load!D20-Load!E20-G20)/E14,"")))</f>
        <v>0</v>
      </c>
      <c r="H22" s="184">
        <f>SUM($C22-$F22-G22)</f>
        <v>50967.429768071641</v>
      </c>
    </row>
    <row r="23" spans="1:8">
      <c r="A23" s="182">
        <v>2</v>
      </c>
      <c r="B23" s="179" t="str">
        <f>Dates!B2</f>
        <v>02.02.15</v>
      </c>
      <c r="C23" s="184">
        <f>H22</f>
        <v>50967.429768071641</v>
      </c>
      <c r="D23" s="185">
        <f>SUM(E23+F23+G23)</f>
        <v>1985.903565261694</v>
      </c>
      <c r="E23" s="184">
        <f>(Load!C8/12)*C23</f>
        <v>934.40287908131347</v>
      </c>
      <c r="F23" s="186">
        <f>IF(E$15&gt;=Dates!A2,Load!C$11-G23,IF(Languages!B$146=1,Dates!S3,IF(E$14&gt;=Dates!A2,(E$8-Load!$C$11*E$15+Dates!$AF$1)/(E$14-E$15))))</f>
        <v>1051.5006861803804</v>
      </c>
      <c r="G23" s="184">
        <f>IF(Languages!B165=1,0,IF(Languages!B165=2,IF(E$14&gt;=Dates!A2,(Load!$D$20-Load!$E$20-G$20)/E$14,"")))</f>
        <v>0</v>
      </c>
      <c r="H23" s="184">
        <f>SUM($C23-$F23-G23)</f>
        <v>49915.929081891263</v>
      </c>
    </row>
    <row r="24" spans="1:8">
      <c r="A24" s="182">
        <f>IF(E$14&gt;=Dates!A3,Dates!A3,IF(E$14=Dates!A2,Languages!$B$136,""))</f>
        <v>3</v>
      </c>
      <c r="B24" s="179" t="str">
        <f>IF(E$14&gt;=Dates!A3,Dates!B3,"")</f>
        <v>02.03.15</v>
      </c>
      <c r="C24" s="184">
        <f>IF(E14&gt;=3,H23,"")</f>
        <v>49915.929081891263</v>
      </c>
      <c r="D24" s="185">
        <f>SUM(E24+F24+G24)</f>
        <v>1985.9035652616938</v>
      </c>
      <c r="E24" s="184">
        <f>IF(E$14&gt;=Dates!A3,(Load!$C$8/12)*C24,IF(E$14&gt;=Dates!A2,SUM(E$20:E23),""))</f>
        <v>915.12536650133984</v>
      </c>
      <c r="F24" s="186">
        <f>IF(E$15&gt;=Dates!A3,Load!C$11-G24,IF(E$14&lt;=Dates!A1,"",IF(E$14&lt;=Dates!A2,SUM(F$20:F23),IF(Languages!B$146=1,Dates!S4,IF(E$14&gt;=Dates!A3,(E$8-Load!$C$11*E$15+Dates!$AF$1)/(E$14-E$15),"")))))</f>
        <v>1070.7781987603539</v>
      </c>
      <c r="G24" s="184">
        <f>IF(E$14=Dates!A2,SUM(G$20:G23),IF(Languages!B165=1,0,IF(Languages!B165=2,IF(E$14&gt;=Dates!A3,(Load!$D$20-Load!$E$20-G$20)/E$14,IF(E$14=Dates!A2,SUM(G$20:G23),"")))))</f>
        <v>0</v>
      </c>
      <c r="H24" s="184">
        <f>IF(E14&gt;=3,SUM($C24-$F24-G24),"")</f>
        <v>48845.150883130911</v>
      </c>
    </row>
    <row r="25" spans="1:8">
      <c r="A25" s="182">
        <f>IF(E$14&gt;=Dates!A4,Dates!A4,IF(E$14=Dates!A3,Languages!$B$136,""))</f>
        <v>4</v>
      </c>
      <c r="B25" s="179" t="str">
        <f>IF(E$14&gt;=Dates!A4,Dates!B4,"")</f>
        <v>02.04.15</v>
      </c>
      <c r="C25" s="184">
        <f>IF(E14&gt;=4,H24, "")</f>
        <v>48845.150883130911</v>
      </c>
      <c r="D25" s="185">
        <f>IF(E$14&gt;=Dates!A4,SUM(E25+F25+G25),IF(E$14&gt;=Dates!A3,SUM(D$20:D24),""))</f>
        <v>1985.903565261694</v>
      </c>
      <c r="E25" s="184">
        <f>IF(E$14&gt;=Dates!A4,(Load!$C$8/12)*C25,IF(E$14&gt;=Dates!A3,SUM(E$20:E24),""))</f>
        <v>895.49443285740006</v>
      </c>
      <c r="F25" s="186">
        <f>IF(E$15&gt;=Dates!A4,Load!C$11-G25,IF(E$14&lt;=Dates!A2,"",IF(E$14&lt;=Dates!A3,SUM(F$20:F24),IF(Languages!B$146=1,Dates!S5,IF(E$14&gt;=Dates!A4,(E$8-Load!$C$11*E$15+Dates!$AF$1)/(E$14-E$15),"")))))</f>
        <v>1090.4091324042938</v>
      </c>
      <c r="G25" s="184">
        <f>IF('Mirror for payments'!$E$14&lt;=Dates!A2,"",IF(E$14=Dates!A3,SUM(G$20:G24),IF(Languages!B165=1,0,IF(Languages!B165=2,IF(E$14&gt;=Dates!A4,(Load!$D$20-Load!$E$20-G$20)/E$14,IF(E$14=Dates!A3,SUM(G$20:G24),""))))))</f>
        <v>0</v>
      </c>
      <c r="H25" s="184">
        <f>IF(E14&gt;=4,SUM($C25-$F25-G25),"")</f>
        <v>47754.741750726615</v>
      </c>
    </row>
    <row r="26" spans="1:8">
      <c r="A26" s="182">
        <f>IF(E$14&gt;=Dates!A5,Dates!A5,IF(E$14=Dates!A4,Languages!$B$136,""))</f>
        <v>5</v>
      </c>
      <c r="B26" s="179" t="str">
        <f>IF(E$14&gt;=Dates!A5,Dates!B5,"")</f>
        <v>02.05.15</v>
      </c>
      <c r="C26" s="184">
        <f>IF(E14&gt;=5,H25,IF(E14=2,Languages!B81,""))</f>
        <v>47754.741750726615</v>
      </c>
      <c r="D26" s="185">
        <f>IF(E$14&gt;=Dates!A5,SUM(E26+F26+G26),IF(E$14&gt;=Dates!A4,SUM(D$20:D25),""))</f>
        <v>1985.903565261694</v>
      </c>
      <c r="E26" s="184">
        <f>IF(E$14&gt;=Dates!A5,(Load!$C$8/12)*C26,IF(E$14&gt;=Dates!A4,SUM(E$20:E25),""))</f>
        <v>875.50359876332129</v>
      </c>
      <c r="F26" s="186">
        <f>IF(E$15&gt;=Dates!A5,Load!C$11-G26,IF(E$14&lt;=Dates!A3,"",IF(E$14&lt;=Dates!A4,SUM(F$20:F25),IF(Languages!B$146=1,Dates!S6,IF(E$14&gt;=Dates!A5,(E$8-Load!$C$11*E$15+Dates!$AF$1)/(E$14-E$15),"")))))</f>
        <v>1110.3999664983726</v>
      </c>
      <c r="G26" s="184">
        <f>IF('Mirror for payments'!$E$14&lt;=Dates!A3,"",IF(E$14=Dates!A4,SUM(G$20:G25),IF(E14&gt;=Dates!A3,IF(Languages!B165=1,0,IF(Languages!B165=2,IF(E$14&gt;=Dates!A5,(Load!$D$20-Load!$E$20-G$20)/E$14,IF(E$14=Dates!A4,SUM(G$20:G25),"")))))))</f>
        <v>0</v>
      </c>
      <c r="H26" s="184">
        <f>IF(E14&gt;=5,SUM($C26-$F26-G26),IF(E14=2,Languages!B82,""))</f>
        <v>46644.341784228243</v>
      </c>
    </row>
    <row r="27" spans="1:8">
      <c r="A27" s="182">
        <f>IF(E$14&gt;=Dates!A6,Dates!A6,IF(E$14=Dates!A5,Languages!$B$136,""))</f>
        <v>6</v>
      </c>
      <c r="B27" s="179" t="str">
        <f>IF(E$14&gt;=Dates!A6,Dates!B6,"")</f>
        <v>02.06.15</v>
      </c>
      <c r="C27" s="184">
        <f>IF(E14&gt;=6,H26,IF(E14=2,Languages!B88,IF(E14=3,Languages!B81,"")))</f>
        <v>46644.341784228243</v>
      </c>
      <c r="D27" s="185">
        <f>IF(E$14&gt;=Dates!A6,SUM(E27+F27+G27),IF(E$14&gt;=Dates!A5,SUM(D$20:D26),""))</f>
        <v>1985.9035652616935</v>
      </c>
      <c r="E27" s="184">
        <f>IF(E$14&gt;=Dates!A6,(Load!$C$8/12)*C27,IF(E$14&gt;=Dates!A5,SUM(E$20:E26),""))</f>
        <v>855.14626604418447</v>
      </c>
      <c r="F27" s="186">
        <f>IF(E$15&gt;=Dates!A6,Load!C$11-G27,IF(E$14&lt;=Dates!A4,"",IF(E$14&lt;=Dates!A5,SUM(F$20:F26),IF(Languages!B$146=1,Dates!S7,IF(E$14&gt;=Dates!A6,(E$8-Load!$C$11*E$15+Dates!$AF$1)/(E$14-E$15),"")))))</f>
        <v>1130.7572992175092</v>
      </c>
      <c r="G27" s="184">
        <f>IF('Mirror for payments'!$E$14&lt;=Dates!A4,"",IF(E$14=Dates!A5,SUM(G$20:G26),IF(Languages!B165=1,0,IF(Languages!B165=2,IF(E$14&gt;=Dates!A6,(Load!$D$20-Load!$E$20-G$20)/E$14,IF(E$14=Dates!A5,SUM(G$20:G26),""))))))</f>
        <v>0</v>
      </c>
      <c r="H27" s="184">
        <f>IF(E14&gt;=6,SUM(C$27-F$27-G27),IF(E14=3,Languages!B82,IF(E14=2,Languages!B83,"")))</f>
        <v>45513.584485010731</v>
      </c>
    </row>
    <row r="28" spans="1:8">
      <c r="A28" s="182">
        <f>IF(E$14&gt;=Dates!A7,Dates!A7,IF(E$14=Dates!A6,Languages!$B$136,""))</f>
        <v>7</v>
      </c>
      <c r="B28" s="179" t="str">
        <f>IF(E$14&gt;=Dates!A7,Dates!B7,"")</f>
        <v>02.07.15</v>
      </c>
      <c r="C28" s="184">
        <f>IF(E14&gt;=7,H27,IF(E14=3,Languages!B88,IF(E14=4,Languages!B81,"")))</f>
        <v>45513.584485010731</v>
      </c>
      <c r="D28" s="185">
        <f>IF(E$14&gt;=Dates!A7,SUM(E28+F28+G28),IF(E$14&gt;=Dates!A6,SUM(D$20:D27),""))</f>
        <v>1985.9035652616938</v>
      </c>
      <c r="E28" s="184">
        <f>IF(E$14&gt;=Dates!A7,(Load!$C$8/12)*C28,IF(E$14&gt;=Dates!A6,SUM(E$20:E27),""))</f>
        <v>834.41571555853011</v>
      </c>
      <c r="F28" s="186">
        <f>IF(E$15&gt;=Dates!A7,Load!C$11-G28,IF(E$14&lt;=Dates!A5,"",IF(E$14&lt;=Dates!A6,SUM(F$20:F27),IF(Languages!B$146=1,Dates!S8,IF(E$14&gt;=Dates!A7,(E$8-Load!$C$11*E$15+Dates!$AF$1)/(E$14-E$15),"")))))</f>
        <v>1151.4878497031636</v>
      </c>
      <c r="G28" s="184">
        <f>IF('Mirror for payments'!$E$14&lt;=Dates!A5,"",IF(E$14=Dates!A6,SUM($G$20:G27),IF(Languages!$B$165=1,0,IF(Languages!$B$165=2,IF(E$14&gt;=Dates!A7,(Load!$D$20-Load!$E$20-G$20)/E$14,IF(E$14=Dates!A6,SUM($G$20:G27),""))))))</f>
        <v>0</v>
      </c>
      <c r="H28" s="184">
        <f>IF(E14&gt;=7,SUM(C$28-F$28-G28),IF(E14=4,Languages!B82,IF(E14=3,Languages!B83,"")))</f>
        <v>44362.096635307571</v>
      </c>
    </row>
    <row r="29" spans="1:8">
      <c r="A29" s="182">
        <f>IF(E$14&gt;=Dates!A8,Dates!A8,IF(E$14=Dates!A7,Languages!$B$136,""))</f>
        <v>8</v>
      </c>
      <c r="B29" s="179" t="str">
        <f>IF(E$14&gt;=Dates!A8,Dates!B8,"")</f>
        <v>02.08.15</v>
      </c>
      <c r="C29" s="184">
        <f>IF(E14=2,"_____________________",IF(E14=4,Languages!B88,IF(E14=5,Languages!B81,IF(E14&gt;=8,H28,""))))</f>
        <v>44362.096635307571</v>
      </c>
      <c r="D29" s="185">
        <f>IF(E$14&gt;=Dates!A8,SUM(E29+F29+G29),IF(E$14&gt;=Dates!A7,SUM(D$20:D28),""))</f>
        <v>1985.9035652616938</v>
      </c>
      <c r="E29" s="184">
        <f>IF(E$14&gt;=Dates!A8,(Load!$C$8/12)*C29,IF(E$14&gt;=Dates!A7,SUM(E$20:E28),""))</f>
        <v>813.30510498063882</v>
      </c>
      <c r="F29" s="186">
        <f>IF(E$15&gt;=Dates!A8,Load!C$11-G29,IF(E$14&lt;=Dates!A6,"",IF(E$14&lt;=Dates!A7,SUM(F$20:F28),IF(Languages!B$146=1,Dates!S9,IF(E$14&gt;=Dates!A8,(E$8-Load!$C$11*E$15+Dates!$AF$1)/(E$14-E$15),"")))))</f>
        <v>1172.5984602810549</v>
      </c>
      <c r="G29" s="184">
        <f>IF('Mirror for payments'!$E$14&lt;=Dates!A6,"",IF(E$14=Dates!A7,SUM($G$20:G28),IF(Languages!$B$165=1,0,IF(Languages!$B$165=2,IF(E$14&gt;=Dates!A8,(Load!$D$20-Load!$E$20-G$20)/E$14,IF(E$14=Dates!A7,SUM($G$20:G28),""))))))</f>
        <v>0</v>
      </c>
      <c r="H29" s="184">
        <f>IF(E14&gt;=8,SUM($C29-$F29-G29),IF(E14=2,"_____________________",IF(E14=5,Languages!B82,IF(E14=4,Languages!B83,""))))</f>
        <v>43189.498175026514</v>
      </c>
    </row>
    <row r="30" spans="1:8">
      <c r="A30" s="182">
        <f>IF(E$14&gt;=Dates!A9,Dates!A9,IF(E$14=Dates!A8,Languages!$B$136,""))</f>
        <v>9</v>
      </c>
      <c r="B30" s="179" t="str">
        <f>IF(E$14&gt;=Dates!A9,Dates!B9,"")</f>
        <v>02.09.15</v>
      </c>
      <c r="C30" s="184">
        <f>IF(E14=2,Languages!B90,IF(E14=3,"_____________________",IF(E14=5,Languages!B88,IF(E14=6,Languages!B81,IF(E14&gt;=9,H29,"")))))</f>
        <v>43189.498175026514</v>
      </c>
      <c r="D30" s="185">
        <f>IF(E$14&gt;=Dates!A9,SUM(E30+F30+G30),IF(E$14&gt;=Dates!A8,SUM(D$20:D29),""))</f>
        <v>1985.9035652616938</v>
      </c>
      <c r="E30" s="184">
        <f>IF(E$14&gt;=Dates!A9,(Load!$C$8/12)*C30,IF(E$14&gt;=Dates!A8,SUM(E$20:E29),""))</f>
        <v>791.80746654215272</v>
      </c>
      <c r="F30" s="186">
        <f>IF(E$15&gt;=Dates!A9,Load!C$11-G30,IF(E$14&lt;=Dates!A7,"",IF(E$14&lt;=Dates!A8,SUM(F$20:F29),IF(Languages!B$146=1,Dates!S10,IF(E$14&gt;=Dates!A9,(E$8-Load!$C$11*E$15+Dates!$AF$1)/(E$14-E$15),"")))))</f>
        <v>1194.096098719541</v>
      </c>
      <c r="G30" s="184">
        <f>IF('Mirror for payments'!$E$14&lt;=Dates!A7,"",IF(E$14=Dates!A8,SUM($G$20:G29),IF(Languages!$B$165=1,0,IF(Languages!$B$165=2,IF(E$14&gt;=Dates!A9,(Load!$D$20-Load!$E$20-G$20)/E$14,IF(E$14=Dates!A8,SUM($G$20:G29),""))))))</f>
        <v>0</v>
      </c>
      <c r="H30" s="184">
        <f>IF(E14&gt;=9,SUM($C30-$F30-G30),IF(E14=2,Languages!B84,IF(E14=3,"_____________________",IF(E14=6,Languages!B82,IF(E14=5,Languages!B83,"")))))</f>
        <v>41995.402076306971</v>
      </c>
    </row>
    <row r="31" spans="1:8">
      <c r="A31" s="182">
        <f>IF(E$14&gt;=Dates!A10,Dates!A10,IF(E$14=Dates!A9,Languages!$B$136,""))</f>
        <v>10</v>
      </c>
      <c r="B31" s="179" t="str">
        <f>IF(E$14&gt;=Dates!A10,Dates!B10,"")</f>
        <v>02.10.15</v>
      </c>
      <c r="C31" s="184">
        <f>IF(E$14=Dates!A2,Languages!$B$86,IF(E$14=Dates!A3,Languages!$B$90,IF(E$14=Dates!A4,"_____________________",IF(E$14=Dates!A6,Languages!$B$88,IF(E$14=Dates!A7,Languages!$B$81,IF(E$14&gt;=Dates!A10,H30,""))))))</f>
        <v>41995.402076306971</v>
      </c>
      <c r="D31" s="185">
        <f>IF(E$14&gt;=Dates!A10,SUM(E31+F31+G31),IF(E$14&gt;=Dates!A9,SUM(D$20:D30),""))</f>
        <v>1985.9035652616938</v>
      </c>
      <c r="E31" s="184">
        <f>IF(E$14&gt;=Dates!A10,(Load!$C$8/12)*C31,IF(E$14&gt;=Dates!A9,SUM(E$20:E30),""))</f>
        <v>769.91570473229444</v>
      </c>
      <c r="F31" s="186">
        <f>IF(E$15&gt;=Dates!A10,Load!C$11-G31,IF(E$14&lt;=Dates!A8,"",IF(E$14&lt;=Dates!A9,SUM(F$20:F30),IF(Languages!B$146=1,Dates!S11,IF(E$14&gt;=Dates!A10,(E$8-Load!$C$11*E$15+Dates!$AF$1)/(E$14-E$15),"")))))</f>
        <v>1215.9878605293993</v>
      </c>
      <c r="G31" s="184">
        <f>IF('Mirror for payments'!$E$14&lt;=Dates!A8,"",IF(E$14=Dates!A9,SUM($G$20:G30),IF(Languages!$B$165=1,0,IF(Languages!$B$165=2,IF(E$14&gt;=Dates!A10,(Load!$D$20-Load!$E$20-G$20)/E$14,IF(E$14=Dates!A9,SUM($G$20:G30),""))))))</f>
        <v>0</v>
      </c>
      <c r="H31" s="184">
        <f>IF(E$14&gt;=Dates!A10,SUM($C31-$F31-G31),IF(E$14=Dates!A3,Languages!$B$84,IF(E$14=Dates!A4,"_____________________",IF(E$14=Dates!A7,Languages!$B$82,IF(E$14=Dates!A6,Languages!$B$83,IF(E$14=Dates!A2,Languages!$B$87,""))))))</f>
        <v>40779.414215777571</v>
      </c>
    </row>
    <row r="32" spans="1:8">
      <c r="A32" s="182">
        <f>IF(E$14&gt;=Dates!A11,Dates!A11,IF(E$14=Dates!A10,Languages!$B$136,""))</f>
        <v>11</v>
      </c>
      <c r="B32" s="179" t="str">
        <f>IF(E$14&gt;=Dates!A11,Dates!B11,"")</f>
        <v>02.11.15</v>
      </c>
      <c r="C32" s="184">
        <f>IF(E$14=Dates!A3,Languages!$B$86,IF(E$14=Dates!A4,Languages!$B$90,IF(E$14=Dates!A5,"_____________________",IF(E$14=Dates!A7,Languages!$B$88,IF(E$14=Dates!A8,Languages!$B$81,IF(E$14&gt;=Dates!A11,H31,""))))))</f>
        <v>40779.414215777571</v>
      </c>
      <c r="D32" s="185">
        <f>IF(E$14&gt;=Dates!A11,SUM(E32+F32+G32),IF(E$14&gt;=Dates!A10,SUM(D$20:D31),""))</f>
        <v>1985.9035652616938</v>
      </c>
      <c r="E32" s="184">
        <f>IF(E$14&gt;=Dates!A11,(Load!$C$8/12)*C32,IF(E$14&gt;=Dates!A10,SUM(E$20:E31),""))</f>
        <v>747.62259395592218</v>
      </c>
      <c r="F32" s="186">
        <f>IF(E$15&gt;=Dates!A11,Load!C$11-G32,IF(E$14&lt;=Dates!A9,"",IF(E$14&lt;=Dates!A10,SUM(F$20:F31),IF(Languages!B$146=1,Dates!S12,IF(E$14&gt;=Dates!A11,(E$8-Load!$C$11*E$15+Dates!$AF$1)/(E$14-E$15),"")))))</f>
        <v>1238.2809713057716</v>
      </c>
      <c r="G32" s="184">
        <f>IF('Mirror for payments'!$E$14&lt;=Dates!A9,"",IF(E$14=Dates!A10,SUM($G$20:G31),IF(Languages!$B$165=1,0,IF(Languages!$B$165=2,IF(E$14&gt;=Dates!A11,(Load!$D$20-Load!$E$20-G$20)/E$14,IF(E$14=Dates!A10,SUM($G$20:G31),""))))))</f>
        <v>0</v>
      </c>
      <c r="H32" s="184">
        <f>IF(E$14&gt;=Dates!A11,SUM($C32-$F32-G32),IF(E$14=Dates!A4,Languages!$B$84,IF(E$14=Dates!A5,"_____________________",IF(E$14=Dates!A8,Languages!$B$82,IF(E$14=Dates!A7,Languages!$B$83,IF(E$14=Dates!A3,Languages!$B$87,""))))))</f>
        <v>39541.133244471799</v>
      </c>
    </row>
    <row r="33" spans="1:8">
      <c r="A33" s="182">
        <f>IF(E$14&gt;=Dates!A12,Dates!A12,IF(E$14=Dates!A11,Languages!$B$136,""))</f>
        <v>12</v>
      </c>
      <c r="B33" s="179" t="str">
        <f>IF(E$14&gt;=Dates!A12,Dates!B12,"")</f>
        <v>02.12.15</v>
      </c>
      <c r="C33" s="184">
        <f>IF(E$14=Dates!A4,Languages!$B$86,IF(E$14=Dates!A5,Languages!$B$90,IF(E$14=Dates!A6,"_____________________",IF(E$14=Dates!A8,Languages!$B$88,IF(E$14=Dates!A9,Languages!$B$81,IF(E$14&gt;=Dates!A12,H32,""))))))</f>
        <v>39541.133244471799</v>
      </c>
      <c r="D33" s="185">
        <f>IF(E$14&gt;=Dates!A12,SUM(E33+F33+G33),IF(E$14&gt;=Dates!A11,SUM(D$20:D32),""))</f>
        <v>1985.9035652616935</v>
      </c>
      <c r="E33" s="184">
        <f>IF(E$14&gt;=Dates!A12,(Load!$C$8/12)*C33,IF(E$14&gt;=Dates!A11,SUM(E$20:E32),""))</f>
        <v>724.92077614864968</v>
      </c>
      <c r="F33" s="186">
        <f>IF(E$15&gt;=Dates!A12,Load!C$11-G33,IF(E$14&lt;=Dates!A10,"",IF(E$14&lt;=Dates!A11,SUM(F$20:F32),IF(Languages!B$146=1,Dates!S13,IF(E$14&gt;=Dates!A12,(E$8-Load!$C$11*E$15+Dates!$AF$1)/(E$14-E$15),"")))))</f>
        <v>1260.982789113044</v>
      </c>
      <c r="G33" s="184">
        <f>IF('Mirror for payments'!$E$14&lt;=Dates!A10,"",IF(E$14=Dates!A11,SUM($G$20:G32),IF(Languages!$B$165=1,0,IF(Languages!$B$165=2,IF(E$14&gt;=Dates!A12,(Load!$D$20-Load!$E$20-G$20)/E$14,IF(E$14=Dates!A11,SUM($G$20:G32),""))))))+(IF(E14=30,Load!C38*1.5,IF(E14&gt;18,Load!C38,0)))</f>
        <v>0</v>
      </c>
      <c r="H33" s="184">
        <f>IF(E$14&gt;=Dates!A12,SUM(C33-F33-G33),IF(E$14=Dates!A5,Languages!$B$84,IF(E$14=Dates!A6,"_____________________",IF(E$14=Dates!A9,Languages!$B$82,IF(E$14=Dates!A8,Languages!$B$83,IF(E$14=Dates!A4,Languages!$B$87,""))))))+(IF(E14=30,Load!C38*1.5,IF(E14&gt;18,Load!C38,0)))</f>
        <v>38280.150455358758</v>
      </c>
    </row>
    <row r="34" spans="1:8">
      <c r="A34" s="182">
        <f>IF(E$14&gt;=Dates!A13,Dates!A13,IF(E$14=Dates!A12,Languages!$B$136,""))</f>
        <v>13</v>
      </c>
      <c r="B34" s="179" t="str">
        <f>IF(E$14&gt;=Dates!A13,Dates!B13,"")</f>
        <v>02.01.16</v>
      </c>
      <c r="C34" s="184">
        <f>IF(E$14=Dates!A5,Languages!$B$86,IF(E$14=Dates!A6,Languages!$B$90,IF(E$14=Dates!A7,"_____________________",IF(E$14=Dates!A9,Languages!$B$88,IF(E$14=Dates!A10,Languages!$B$81,IF(E$14&gt;=Dates!A13,H33,""))))))</f>
        <v>38280.150455358758</v>
      </c>
      <c r="D34" s="185">
        <f>IF(E$14&gt;=Dates!A13,SUM(E34+F34+G34),IF(E$14&gt;=Dates!A12,SUM(D$20:D33),""))</f>
        <v>1985.9035652616935</v>
      </c>
      <c r="E34" s="184">
        <f>IF(E$14&gt;=Dates!A13,(Load!$C$8/12)*C34,IF(E$14&gt;=Dates!A12,SUM(E$20:E33),""))</f>
        <v>701.80275834824386</v>
      </c>
      <c r="F34" s="186">
        <f>IF(E$15&gt;=Dates!A13,Load!C$11-G34,IF(E$14&lt;=Dates!A11,"",IF(E$14&lt;=Dates!A12,SUM(F$20:F33),IF(Languages!B$146=1,Dates!S14,IF(E$14&gt;=Dates!A13,(E$8-Load!$C$11*E$15+Dates!$AF$1)/(E$14-E$15),"")))))</f>
        <v>1284.1008069134498</v>
      </c>
      <c r="G34" s="184">
        <f>IF('Mirror for payments'!$E$14&lt;=Dates!A11,"",IF(E$14=Dates!A12,SUM($G$20:G33),IF(Languages!$B$165=1,0,IF(Languages!$B$165=2,IF(E$14&gt;=Dates!A13,(Load!$D$20-Load!$E$20-G$20)/E$14,IF(E$14=Dates!A12,SUM($G$20:G33),""))))))</f>
        <v>0</v>
      </c>
      <c r="H34" s="184">
        <f>IF(E$14&gt;=Dates!A13,SUM(C34-F34-G34),IF(E$14=Dates!A6,Languages!$B$84,IF(E$14=Dates!A7,"_____________________",IF(E$14=Dates!A10,Languages!$B$82,IF(E$14=Dates!A9,Languages!$B$83,IF(E$14=Dates!A5,Languages!$B$87,""))))))</f>
        <v>36996.049648445311</v>
      </c>
    </row>
    <row r="35" spans="1:8">
      <c r="A35" s="182">
        <f>IF(E$14&gt;=Dates!A14,Dates!A14,IF(E$14=Dates!A13,Languages!$B$136,""))</f>
        <v>14</v>
      </c>
      <c r="B35" s="179" t="str">
        <f>IF(E$14&gt;=Dates!A14,Dates!B14,"")</f>
        <v>02.02.16</v>
      </c>
      <c r="C35" s="184">
        <f>IF(E$14=Dates!A6,Languages!$B$86,IF(E$14=Dates!A7,Languages!$B$90,IF(E$14=Dates!A8,"_____________________",IF(E$14=Dates!A10,Languages!$B$88,IF(E$14=Dates!A11,Languages!$B$81,IF(E$14&gt;=Dates!A14,H34,""))))))</f>
        <v>36996.049648445311</v>
      </c>
      <c r="D35" s="185">
        <f>IF(E$14&gt;=Dates!A14,SUM(E35+F35+G35),IF(E$14&gt;=Dates!A13,SUM(D$20:D34),""))</f>
        <v>1985.9035652616938</v>
      </c>
      <c r="E35" s="184">
        <f>IF(E$14&gt;=Dates!A14,(Load!$C$8/12)*C35,IF(E$14&gt;=Dates!A13,SUM(E$20:E34),""))</f>
        <v>678.2609102214974</v>
      </c>
      <c r="F35" s="184">
        <f>IF(E$15&gt;=Dates!A14,Load!C$11-G35,IF(E$14&lt;=Dates!A12,"",IF(E$14&lt;=Dates!A13,SUM(F$20:F34),IF(Languages!B$146=1,Dates!S15,IF(E$14&gt;=Dates!A14,(E$8-Load!$C$11*E$15+Dates!$AF$1)/(E$14-E$15),"")))))</f>
        <v>1307.6426550401964</v>
      </c>
      <c r="G35" s="184">
        <f>IF('Mirror for payments'!$E$14&lt;=Dates!A12,"",IF(E$14=Dates!A13,SUM($G$20:G34),IF(Languages!$B$165=1,0,IF(Languages!$B$165=2,IF(E$14&gt;=Dates!A14,(Load!$D$20-Load!$E$20-G$20)/E$14,IF(E$14=Dates!A13,SUM($G$20:G34),""))))))</f>
        <v>0</v>
      </c>
      <c r="H35" s="184">
        <f>IF(E$14&gt;=Dates!A14,SUM(C35-F35-G35),IF(E$14=Dates!A7,Languages!$B$84,IF(E$14=Dates!A8,"_____________________",IF(E$14=Dates!A11,Languages!$B$82,IF(E$14=Dates!A10,Languages!$B$83,IF(E$14=Dates!A6,Languages!$B$87,""))))))</f>
        <v>35688.406993405115</v>
      </c>
    </row>
    <row r="36" spans="1:8">
      <c r="A36" s="182">
        <f>IF(E$14&gt;=Dates!A15,Dates!A15,IF(E$14=Dates!A14,Languages!$B$136,""))</f>
        <v>15</v>
      </c>
      <c r="B36" s="179" t="str">
        <f>IF(E$14&gt;=Dates!A15,Dates!B15,"")</f>
        <v>02.03.16</v>
      </c>
      <c r="C36" s="184">
        <f>IF(E$14=Dates!A7,Languages!$B$86,IF(E$14=Dates!A8,Languages!$B$90,IF(E$14=Dates!A9,"_____________________",IF(E$14=Dates!A11,Languages!$B$88,IF(E$14=Dates!A12,Languages!$B$81,IF(E$14&gt;=Dates!A15,H35,""))))))</f>
        <v>35688.406993405115</v>
      </c>
      <c r="D36" s="185">
        <f>IF(E$14&gt;=Dates!A15,SUM(E36+F36+G36),IF(E$14&gt;=Dates!A14,SUM(D$20:D35),""))</f>
        <v>1985.9035652616935</v>
      </c>
      <c r="E36" s="184">
        <f>IF(E$14&gt;=Dates!A15,(Load!$C$8/12)*C36,IF(E$14&gt;=Dates!A14,SUM(E$20:E35),""))</f>
        <v>654.28746154576049</v>
      </c>
      <c r="F36" s="184">
        <f>IF(E$15&gt;=Dates!A15,Load!C$11-G36,IF(E$14&lt;=Dates!A13,"",IF(E$14&lt;=Dates!A14,SUM(F$20:F35),IF(Languages!B$146=1,Dates!S16,IF(E$14&gt;=Dates!A15,(E$8-Load!$C$11*E$15+Dates!$AF$1)/(E$14-E$15),"")))))</f>
        <v>1331.6161037159331</v>
      </c>
      <c r="G36" s="184">
        <f>IF('Mirror for payments'!$E$14&lt;=Dates!A13,"",IF(E$14=Dates!A14,SUM($G$20:G35),IF(Languages!$B$165=1,0,IF(Languages!$B$165=2,IF(E$14&gt;=Dates!A15,(Load!$D$20-Load!$E$20-G$20)/E$14,IF(E$14=Dates!A14,SUM($G$20:G35),""))))))</f>
        <v>0</v>
      </c>
      <c r="H36" s="184">
        <f>IF(E$14&gt;=Dates!A15,SUM(C36-F36-G36),IF(E$14=Dates!A8,Languages!$B$84,IF(E$14=Dates!A9,"_____________________",IF(E$14=Dates!A12,Languages!$B$82,IF(E$14=Dates!A11,Languages!$B$83,IF(E$14=Dates!A7,Languages!$B$87,""))))))</f>
        <v>34356.790889689182</v>
      </c>
    </row>
    <row r="37" spans="1:8">
      <c r="A37" s="182">
        <f>IF(E$14&gt;=Dates!A16,Dates!A16,IF(E$14=Dates!A15,Languages!$B$136,""))</f>
        <v>16</v>
      </c>
      <c r="B37" s="179" t="str">
        <f>IF(E$14&gt;=Dates!A16,Dates!B16,"")</f>
        <v>02.04.16</v>
      </c>
      <c r="C37" s="184">
        <f>IF(E$14=Dates!A8,Languages!$B$86,IF(E$14=Dates!A9,Languages!$B$90,IF(E$14=Dates!A10,"_____________________",IF(E$14=Dates!A12,Languages!$B$88,IF(E$14=Dates!A13,Languages!$B$81,IF(E$14&gt;=Dates!A16,H36,""))))))</f>
        <v>34356.790889689182</v>
      </c>
      <c r="D37" s="185">
        <f>IF(E$14&gt;=Dates!A16,SUM(E37+F37+G37),IF(E$14&gt;=Dates!A15,SUM(D$20:D36),""))</f>
        <v>1985.9035652616935</v>
      </c>
      <c r="E37" s="184">
        <f>IF(E$14&gt;=Dates!A16,(Load!$C$8/12)*C37,IF(E$14&gt;=Dates!A15,SUM(E$20:E36),""))</f>
        <v>629.87449964430164</v>
      </c>
      <c r="F37" s="184">
        <f>IF(E$15&gt;=Dates!A16,Load!C$11-G37,IF(E$14&lt;=Dates!A14,"",IF(E$14&lt;=Dates!A15,SUM(F$20:F36),IF(Languages!B$146=1,Dates!S17,IF(E$14&gt;=Dates!A16,(E$8-Load!$C$11*E$15+Dates!$AF$1)/(E$14-E$15),"")))))</f>
        <v>1356.029065617392</v>
      </c>
      <c r="G37" s="184">
        <f>IF('Mirror for payments'!$E$14&lt;=Dates!A14,"",IF(E$14=Dates!A15,SUM($G$20:G36),IF(Languages!$B$165=1,0,IF(Languages!$B$165=2,IF(E$14&gt;=Dates!A16,(Load!$D$20-Load!$E$20-G$20)/E$14,IF(E$14=Dates!A15,SUM($G$20:G36),""))))))</f>
        <v>0</v>
      </c>
      <c r="H37" s="184">
        <f>IF(E$14&gt;=Dates!A16,SUM(C37-F37-G37),IF(E$14=Dates!A9,Languages!$B$84,IF(E$14=Dates!A10,"_____________________",IF(E$14=Dates!A13,Languages!$B$82,IF(E$14=Dates!A12,Languages!$B$83,IF(E$14=Dates!A8,Languages!$B$87,""))))))</f>
        <v>33000.761824071793</v>
      </c>
    </row>
    <row r="38" spans="1:8">
      <c r="A38" s="182">
        <f>IF(E$14&gt;=Dates!A17,Dates!A17,IF(E$14=Dates!A16,Languages!$B$136,""))</f>
        <v>17</v>
      </c>
      <c r="B38" s="179" t="str">
        <f>IF(E$14&gt;=Dates!A17,Dates!B17,"")</f>
        <v>02.05.16</v>
      </c>
      <c r="C38" s="184">
        <f>IF(E$14=Dates!A9,Languages!$B$86,IF(E$14=Dates!A10,Languages!$B$90,IF(E$14=Dates!A11,"_____________________",IF(E$14=Dates!A13,Languages!$B$88,IF(E$14=Dates!A14,Languages!$B$81,IF(E$14&gt;=Dates!A17,H37,""))))))</f>
        <v>33000.761824071793</v>
      </c>
      <c r="D38" s="185">
        <f>IF(E$14&gt;=Dates!A17,SUM(E38+F38+G38),IF(E$14&gt;=Dates!A16,SUM(D$20:D37),""))</f>
        <v>1985.9035652616938</v>
      </c>
      <c r="E38" s="184">
        <f>IF(E$14&gt;=Dates!A17,(Load!$C$8/12)*C38,IF(E$14&gt;=Dates!A16,SUM(E$20:E37),""))</f>
        <v>605.01396677464959</v>
      </c>
      <c r="F38" s="184">
        <f>IF(E$15&gt;=Dates!A17,Load!C$11-G38,IF(E$14&lt;=Dates!A15,"",IF(E$14&lt;=Dates!A16,SUM(F$20:F37),IF(Languages!B$146=1,Dates!S18,IF(E$14&gt;=Dates!A17,(E$8-Load!$C$11*E$15+Dates!$AF$1)/(E$14-E$15),"")))))</f>
        <v>1380.8895984870442</v>
      </c>
      <c r="G38" s="184">
        <f>IF('Mirror for payments'!$E$14&lt;=Dates!A15,"",IF(E$14=Dates!A16,SUM($G$20:G37),IF(Languages!$B$165=1,0,IF(Languages!$B$165=2,IF(E$14&gt;=Dates!A17,(Load!$D$20-Load!$E$20-G$20)/E$14,IF(E$14=Dates!A16,SUM($G$20:G37),""))))))</f>
        <v>0</v>
      </c>
      <c r="H38" s="184">
        <f>IF(E$14&gt;=Dates!A17,SUM(C38-F38-G38),IF(E$14=Dates!A10,Languages!$B$84,IF(E$14=Dates!A11,"_____________________",IF(E$14=Dates!A14,Languages!$B$82,IF(E$14=Dates!A13,Languages!$B$83,IF(E$14=Dates!A9,Languages!$B$87,""))))))</f>
        <v>31619.87222558475</v>
      </c>
    </row>
    <row r="39" spans="1:8">
      <c r="A39" s="182">
        <f>IF(E$14&gt;=Dates!A18,Dates!A18,IF(E$14=Dates!A17,Languages!$B$136,""))</f>
        <v>18</v>
      </c>
      <c r="B39" s="179" t="str">
        <f>IF(E$14&gt;=Dates!A18,Dates!B18,"")</f>
        <v>02.06.16</v>
      </c>
      <c r="C39" s="184">
        <f>IF(E$14=Dates!A10,Languages!$B$86,IF(E$14=Dates!A11,Languages!$B$90,IF(E$14=Dates!A12,"_____________________",IF(E$14=Dates!A14,Languages!$B$88,IF(E$14=Dates!A15,Languages!$B$81,IF(E$14&gt;=Dates!A18,H38,""))))))</f>
        <v>31619.87222558475</v>
      </c>
      <c r="D39" s="185">
        <f>IF(E$14&gt;=Dates!A18,SUM(E39+F39+G39),IF(E$14&gt;=Dates!A17,SUM(D$20:D38),""))</f>
        <v>1985.903565261694</v>
      </c>
      <c r="E39" s="184">
        <f>IF(E$14&gt;=Dates!A18,(Load!$C$8/12)*C39,IF(E$14&gt;=Dates!A17,SUM(E$20:E38),""))</f>
        <v>579.69765746905375</v>
      </c>
      <c r="F39" s="184">
        <f>IF(E$15&gt;=Dates!A18,Load!C$11-G39,IF(E$14&lt;=Dates!A16,"",IF(E$14&lt;=Dates!A17,SUM(F$20:F38),IF(Languages!B$146=1,Dates!S19,IF(E$14&gt;=Dates!A18,(E$8-Load!$C$11*E$15+Dates!$AF$1)/(E$14-E$15),"")))))</f>
        <v>1406.2059077926401</v>
      </c>
      <c r="G39" s="184">
        <f>IF('Mirror for payments'!$E$14&lt;=Dates!A16,"",IF(E$14=Dates!A17,SUM($G$20:G38),IF(Languages!$B$165=1,0,IF(Languages!$B$165=2,IF(E$14&gt;=Dates!A18,(Load!$D$20-Load!$E$20-G$20)/E$14,IF(E$14=Dates!A17,SUM($G$20:G38),""))))))</f>
        <v>0</v>
      </c>
      <c r="H39" s="184">
        <f>IF(E$14&gt;=Dates!A18,SUM(C39-F39-G39),IF(E$14=Dates!A11,Languages!$B$84,IF(E$14=Dates!A12,"_____________________",IF(E$14=Dates!A15,Languages!$B$82,IF(E$14=Dates!A14,Languages!$B$83,IF(E$14=Dates!A10,Languages!$B$87,""))))))</f>
        <v>30213.666317792111</v>
      </c>
    </row>
    <row r="40" spans="1:8">
      <c r="A40" s="182">
        <f>IF(E$14&gt;=Dates!A19,Dates!A19,IF(E$14=Dates!A18,Languages!$B$136,""))</f>
        <v>19</v>
      </c>
      <c r="B40" s="179" t="str">
        <f>IF(E$14&gt;=Dates!A19,Dates!B19,"")</f>
        <v>02.07.16</v>
      </c>
      <c r="C40" s="184">
        <f>IF(E$14=Dates!A11,Languages!$B$86,IF(E$14=Dates!A12,Languages!$B$90,IF(E$14=Dates!A13,"_____________________",IF(E$14=Dates!A15,Languages!$B$88,IF(E$14=Dates!A16,Languages!$B$81,IF(E$14&gt;=Dates!A19,H39,""))))))</f>
        <v>30213.666317792111</v>
      </c>
      <c r="D40" s="185">
        <f>IF(E$14&gt;=Dates!A19,SUM(E40+F40+G40),IF(E$14&gt;=Dates!A18,SUM(D$20:D39),""))</f>
        <v>1985.9035652616935</v>
      </c>
      <c r="E40" s="184">
        <f>IF(E$14&gt;=Dates!A19,(Load!$C$8/12)*C40,IF(E$14&gt;=Dates!A18,SUM(E$20:E39),""))</f>
        <v>553.91721582618868</v>
      </c>
      <c r="F40" s="184">
        <f>IF(E$15&gt;=Dates!A19,Load!C$11-G40,IF(E$14&lt;=Dates!A17,"",IF(E$14&lt;=Dates!A18,SUM(F$20:F39),IF(Languages!B$146=1,Dates!S20,IF(E$14&gt;=Dates!A19,(E$8-Load!$C$11*E$15+Dates!$AF$1)/(E$14-E$15),"")))))</f>
        <v>1431.986349435505</v>
      </c>
      <c r="G40" s="184">
        <f>IF('Mirror for payments'!$E$14&lt;=Dates!A17,"",IF(E$14=Dates!A18,SUM($G$20:G39),IF(Languages!$B$165=1,0,IF(Languages!$B$165=2,IF(E$14&gt;=Dates!A19,(Load!$D$20-Load!$E$20-G$20)/E$14,IF(E$14=Dates!A18,SUM($G$20:G39),""))))))</f>
        <v>0</v>
      </c>
      <c r="H40" s="184">
        <f>IF(E$14&gt;=Dates!A19,SUM(C40-F40-G40),IF(E$14=Dates!A12,Languages!$B$84,IF(E$14=Dates!A13,"_____________________",IF(E$14=Dates!A16,Languages!$B$82,IF(E$14=Dates!A15,Languages!$B$83,IF(E$14=Dates!A11,Languages!$B$87,""))))))</f>
        <v>28781.679968356606</v>
      </c>
    </row>
    <row r="41" spans="1:8">
      <c r="A41" s="182">
        <f>IF(E$14&gt;=Dates!A20,Dates!A20,IF(E$14=Dates!A19,Languages!$B$136,""))</f>
        <v>20</v>
      </c>
      <c r="B41" s="179" t="str">
        <f>IF(E$14&gt;=Dates!A20,Dates!B20,"")</f>
        <v>02.08.16</v>
      </c>
      <c r="C41" s="184">
        <f>IF(E$14=Dates!A12,Languages!$B$86,IF(E$14=Dates!A13,Languages!$B$90,IF(E$14=Dates!A14,"_____________________",IF(E$14=Dates!A16,Languages!$B$88,IF(E$14=Dates!A17,Languages!$B$81,IF(E$14&gt;=Dates!A20,H40,""))))))</f>
        <v>28781.679968356606</v>
      </c>
      <c r="D41" s="185">
        <f>IF(E$14&gt;=Dates!A20,SUM(E41+F41+G41),IF(E$14&gt;=Dates!A19,SUM(D$20:D40),""))</f>
        <v>1985.9035652616935</v>
      </c>
      <c r="E41" s="184">
        <f>IF(E$14&gt;=Dates!A20,(Load!$C$8/12)*C41,IF(E$14&gt;=Dates!A19,SUM(E$20:E40),""))</f>
        <v>527.6641327532044</v>
      </c>
      <c r="F41" s="184">
        <f>IF(E$15&gt;=Dates!A20,Load!C$11-G41,IF(E$14&lt;=Dates!A18,"",IF(E$14&lt;=Dates!A19,SUM(F$20:F40),IF(Languages!B$146=1,Dates!S21,IF(E$14&gt;=Dates!A20,(E$8-Load!$C$11*E$15+Dates!$AF$1)/(E$14-E$15),"")))))</f>
        <v>1458.2394325084892</v>
      </c>
      <c r="G41" s="184">
        <f>IF('Mirror for payments'!$E$14&lt;=Dates!A18,"",IF(E$14=Dates!A19,SUM($G$20:G41),IF(Languages!$B$165=1,0,IF(Languages!$B$165=2,IF(E$14&gt;=Dates!A20,(Load!$D$20-Load!$E$20-G$20)/E$14,IF(E$14=Dates!A19,SUM($G$20:G40),""))))))</f>
        <v>0</v>
      </c>
      <c r="H41" s="184">
        <f>IF(E$14&gt;=Dates!A20,SUM(C41-F41-G41),IF(E$14=Dates!A13,Languages!$B$84,IF(E$14=Dates!A14,"_____________________",IF(E$14=Dates!A17,Languages!$B$82,IF(E$14=Dates!A16,Languages!$B$83,IF(E$14=Dates!A12,Languages!$B$87,""))))))</f>
        <v>27323.440535848116</v>
      </c>
    </row>
    <row r="42" spans="1:8">
      <c r="A42" s="182">
        <f>IF(E$14&gt;=Dates!A21,Dates!A21,IF(E$14=Dates!A20,Languages!$B$136,""))</f>
        <v>21</v>
      </c>
      <c r="B42" s="179" t="str">
        <f>IF(E$14&gt;=Dates!A21,Dates!B21,"")</f>
        <v>02.09.16</v>
      </c>
      <c r="C42" s="184">
        <f>IF(E$14=Dates!A13,Languages!$B$86,IF(E$14=Dates!A14,Languages!$B$90,IF(E$14=Dates!A15,"_____________________",IF(E$14=Dates!A17,Languages!$B$88,IF(E$14=Dates!A18,Languages!$B$81,IF(E$14&gt;=Dates!A21,H41,""))))))</f>
        <v>27323.440535848116</v>
      </c>
      <c r="D42" s="185">
        <f>IF(E$14&gt;=Dates!A21,SUM(E42+F42+G42),IF(E$14&gt;=Dates!A20,SUM(D$20:D41),""))</f>
        <v>1985.9035652616938</v>
      </c>
      <c r="E42" s="184">
        <f>IF(E$14&gt;=Dates!A21,(Load!$C$8/12)*C42,IF(E$14&gt;=Dates!A20,SUM(E$20:E41),""))</f>
        <v>500.92974315721546</v>
      </c>
      <c r="F42" s="184">
        <f>IF(E$15&gt;=Dates!A21,Load!C$11-G42,IF(E$14&lt;=Dates!A19,"",IF(E$14&lt;=Dates!A20,SUM(F$20:F41),IF(Languages!B$146=1,Dates!S22,IF(E$14&gt;=Dates!A21,(E$8-Load!$C$11*E$15+Dates!$AF$1)/(E$14-E$15),"")))))</f>
        <v>1484.9738221044784</v>
      </c>
      <c r="G42" s="184">
        <f>IF('Mirror for payments'!$E$14&lt;=Dates!A19,"",IF(E$14=Dates!A20,SUM($G$20:G41),IF(Languages!$B$165=1,0,IF(Languages!$B$165=2,IF(E$14&gt;=Dates!A21,(Load!$D$20-Load!$E$20-G$20)/E$14,IF(E$14=Dates!A20,SUM($G$20:G41),""))))))</f>
        <v>0</v>
      </c>
      <c r="H42" s="184">
        <f>IF(E$14&gt;=Dates!A21,SUM(C42-F42-G42),IF(E$14=Dates!A14,Languages!$B$84,IF(E$14=Dates!A15,"_____________________",IF(E$14=Dates!A18,Languages!$B$82,IF(E$14=Dates!A17,Languages!$B$83,IF(E$14=Dates!A13,Languages!$B$87,""))))))</f>
        <v>25838.466713743637</v>
      </c>
    </row>
    <row r="43" spans="1:8">
      <c r="A43" s="182">
        <f>IF(E$14&gt;=Dates!A22,Dates!A22,IF(E$14=Dates!A21,Languages!$B$136,""))</f>
        <v>22</v>
      </c>
      <c r="B43" s="179" t="str">
        <f>IF(E$14&gt;=Dates!A22,Dates!B22,"")</f>
        <v>02.10.16</v>
      </c>
      <c r="C43" s="184">
        <f>IF(E$14=Dates!A14,Languages!$B$86,IF(E$14=Dates!A15,Languages!$B$90,IF(E$14=Dates!A16,"_____________________",IF(E$14=Dates!A18,Languages!$B$88,IF(E$14=Dates!A19,Languages!$B$81,IF(E$14&gt;=Dates!A22,H42,""))))))</f>
        <v>25838.466713743637</v>
      </c>
      <c r="D43" s="185">
        <f>IF(E$14&gt;=Dates!A22,SUM(E43+F43+G43),IF(E$14&gt;=Dates!A21,SUM(D$20:D42),""))</f>
        <v>1985.9035652616938</v>
      </c>
      <c r="E43" s="184">
        <f>IF(E$14&gt;=Dates!A22,(Load!$C$8/12)*C43,IF(E$14&gt;=Dates!A21,SUM(E$20:E42),""))</f>
        <v>473.70522308530002</v>
      </c>
      <c r="F43" s="184">
        <f>IF(E$15&gt;=Dates!A22,Load!C$11-G43,IF(E$14&lt;=Dates!A20,"",IF(E$14&lt;=Dates!A21,SUM(F$20:F42),IF(Languages!B$146=1,Dates!S23,IF(E$14&gt;=Dates!A22,(E$8-Load!$C$11*E$15+Dates!$AF$1)/(E$14-E$15),"")))))</f>
        <v>1512.1983421763937</v>
      </c>
      <c r="G43" s="184">
        <f>IF('Mirror for payments'!$E$14&lt;=Dates!A20,"",IF(E$14=Dates!A21,SUM($G$20:G42),IF(Languages!$B$165=1,0,IF(Languages!$B$165=2,IF(E$14&gt;=Dates!A22,(Load!$D$20-Load!$E$20-G$20)/E$14,IF(E$14=Dates!A21,SUM($G$20:G42),""))))))</f>
        <v>0</v>
      </c>
      <c r="H43" s="184">
        <f>IF(E$14&gt;=Dates!A22,SUM(C43-F43-G43),IF(E$14=Dates!A15,Languages!$B$84,IF(E$14=Dates!A16,"_____________________",IF(E$14=Dates!A19,Languages!$B$82,IF(E$14=Dates!A18,Languages!$B$83,IF(E$14=Dates!A14,Languages!$B$87,""))))))</f>
        <v>24326.268371567243</v>
      </c>
    </row>
    <row r="44" spans="1:8">
      <c r="A44" s="182">
        <f>IF(E$14&gt;=Dates!A23,Dates!A23,IF(E$14=Dates!A22,Languages!$B$136,""))</f>
        <v>23</v>
      </c>
      <c r="B44" s="179" t="str">
        <f>IF(E$14&gt;=Dates!A23,Dates!B23,"")</f>
        <v>02.11.16</v>
      </c>
      <c r="C44" s="184">
        <f>IF(E$14=Dates!A15,Languages!$B$86,IF(E$14=Dates!A16,Languages!$B$90,IF(E$14=Dates!A17,"_____________________",IF(E$14=Dates!A19,Languages!$B$88,IF(E$14=Dates!A20,Languages!$B$81,IF(E$14&gt;=Dates!A23,H43,""))))))</f>
        <v>24326.268371567243</v>
      </c>
      <c r="D44" s="185">
        <f>IF(E$14&gt;=Dates!A23,SUM(E44+F44+G44),IF(E$14&gt;=Dates!A22,SUM(D$20:D43),""))</f>
        <v>1985.9035652616938</v>
      </c>
      <c r="E44" s="184">
        <f>IF(E$14&gt;=Dates!A23,(Load!$C$8/12)*C44,IF(E$14&gt;=Dates!A22,SUM(E$20:E43),""))</f>
        <v>445.9815868120661</v>
      </c>
      <c r="F44" s="184">
        <f>IF(E$15&gt;=Dates!A23,Load!C$11-G44,IF(E$14&lt;=Dates!A21,"",IF(E$14&lt;=Dates!A22,SUM(F$20:F43),IF(Languages!B$146=1,Dates!S24,IF(E$14&gt;=Dates!A23,(E$8-Load!$C$11*E$15+Dates!$AF$1)/(E$14-E$15),"")))))</f>
        <v>1539.9219784496277</v>
      </c>
      <c r="G44" s="184">
        <f>IF('Mirror for payments'!$E$14&lt;=Dates!A21,"",IF(E$14=Dates!A22,SUM($G$20:G43),IF(Languages!$B$165=1,0,IF(Languages!$B$165=2,IF(E$14&gt;=Dates!A23,(Load!$D$20-Load!$E$20-G$20)/E$14,IF(E$14=Dates!A22,SUM($G$20:G43),""))))))</f>
        <v>0</v>
      </c>
      <c r="H44" s="184">
        <f>IF(E$14&gt;=Dates!A23,SUM(C44-F44-G44),IF(E$14=Dates!A16,Languages!$B$84,IF(E$14=Dates!A17,"_____________________",IF(E$14=Dates!A20,Languages!$B$82,IF(E$14=Dates!A19,Languages!$B$83,IF(E$14=Dates!A15,Languages!$B$87,""))))))</f>
        <v>22786.346393117616</v>
      </c>
    </row>
    <row r="45" spans="1:8" s="187" customFormat="1">
      <c r="A45" s="182">
        <f>IF(E$14&gt;=Dates!A24,Dates!A24,IF(E$14=Dates!A23,Languages!$B$136,""))</f>
        <v>24</v>
      </c>
      <c r="B45" s="179" t="str">
        <f>IF(E$14&gt;=Dates!A24,Dates!B24,"")</f>
        <v>02.12.16</v>
      </c>
      <c r="C45" s="184">
        <f>IF(E$14=Dates!A16,Languages!$B$86,IF(E$14=Dates!A17,Languages!$B$90,IF(E$14=Dates!A18,"_____________________",IF(E$14=Dates!A20,Languages!$B$88,IF(E$14=Dates!A21,Languages!$B$81,IF(E$14&gt;=Dates!A24,H44,""))))))</f>
        <v>22786.346393117616</v>
      </c>
      <c r="D45" s="185">
        <f>IF(E$14&gt;=Dates!A24,SUM(E45+F45+G45),IF(E$14&gt;=Dates!A23,SUM(D$20:D44),""))</f>
        <v>1985.9035652616938</v>
      </c>
      <c r="E45" s="184">
        <f>IF(E$14&gt;=Dates!A24,(Load!$C$8/12)*C45,IF(E$14&gt;=Dates!A23,SUM(E$20:E44),""))</f>
        <v>417.74968387382296</v>
      </c>
      <c r="F45" s="184">
        <f>IF(E$15&gt;=Dates!A24,Load!C$11-G45,IF(E$14&lt;=Dates!A22,"",IF(E$14&lt;=Dates!A23,SUM(F$20:F44),IF(Languages!B$146=1,Dates!S25,IF(E$14&gt;=Dates!A24,(E$8-Load!$C$11*E$15+Dates!$AF$1)/(E$14-E$15),"")))))</f>
        <v>1568.1538813878708</v>
      </c>
      <c r="G45" s="184">
        <f>IF('Mirror for payments'!$E$14&lt;=Dates!A22,"",IF(E$14=Dates!A23,SUM($G$20:G44),IF(Languages!$B$165=1,0,IF(Languages!$B$165=2,IF(E$14&gt;=Dates!A24,(Load!$D$20-Load!$E$20-G$20)/E$14,IF(E$14=Dates!A23,SUM($G$20:G44),""))))))</f>
        <v>0</v>
      </c>
      <c r="H45" s="184">
        <f>IF(E$14&gt;=Dates!A24,SUM(C45-F45-G45),IF(E$14=Dates!A17,Languages!$B$84,IF(E$14=Dates!A18,"_____________________",IF(E$14=Dates!A21,Languages!$B$82,IF(E$14=Dates!A20,Languages!$B$83,IF(E$14=Dates!A16,Languages!$B$87,""))))))</f>
        <v>21218.192511729743</v>
      </c>
    </row>
    <row r="46" spans="1:8" s="187" customFormat="1">
      <c r="A46" s="182">
        <f>IF(E$14&gt;=Dates!A25,Dates!A25,IF(E$14=Dates!A24,Languages!$B$136,""))</f>
        <v>25</v>
      </c>
      <c r="B46" s="179" t="str">
        <f>IF(E$14&gt;=Dates!A25,Dates!B25,"")</f>
        <v>02.01.17</v>
      </c>
      <c r="C46" s="184">
        <f>IF(E$14=Dates!A17,Languages!$B$86,IF(E$14=Dates!A18,Languages!$B$90,IF(E$14=Dates!A19,"_____________________",IF(E$14=Dates!A21,Languages!$B$88,IF(E$14=Dates!A22,Languages!$B$81,IF(E$14&gt;=Dates!A25,H45,""))))))</f>
        <v>21218.192511729743</v>
      </c>
      <c r="D46" s="185">
        <f>IF(E$14&gt;=Dates!A25,SUM(E46+F46+G46),IF(E$14&gt;=Dates!A24,SUM(D$20:D45),""))</f>
        <v>1985.9035652616938</v>
      </c>
      <c r="E46" s="184">
        <f>IF(E$14&gt;=Dates!A25,(Load!$C$8/12)*C46,IF(E$14&gt;=Dates!A24,SUM(E$20:E45),""))</f>
        <v>389.00019604837865</v>
      </c>
      <c r="F46" s="184">
        <f>IF(E$15&gt;=Dates!A25,Load!C$11-G46,IF(E$14&lt;=Dates!A23,"",IF(E$14&lt;=Dates!A24,SUM(F$20:F45),IF(Languages!B$146=1,Dates!S26,IF(E$14&gt;=Dates!A25,(E$8-Load!$C$11*E$15+Dates!$AF$1)/(E$14-E$15),"")))))</f>
        <v>1596.903369213315</v>
      </c>
      <c r="G46" s="184">
        <f>IF('Mirror for payments'!$E$14&lt;=Dates!A23,"",IF(E$14=Dates!A24,SUM($G$20:G45),IF(Languages!$B$165=1,0,IF(Languages!$B$165=2,IF(E$14&gt;=Dates!A25,(Load!$D$20-Load!$E$20-G$20)/E$14,IF(E$14=Dates!A24,SUM($G$20:G45),""))))))</f>
        <v>0</v>
      </c>
      <c r="H46" s="184">
        <f>IF(E$14&gt;=Dates!A25,SUM(C46-F46-G46),IF(E$14=Dates!A18,Languages!$B$84,IF(E$14=Dates!A19,"_____________________",IF(E$14=Dates!A22,Languages!$B$82,IF(E$14=Dates!A21,Languages!$B$83,IF(E$14=Dates!A17,Languages!$B$87,""))))))</f>
        <v>19621.289142516427</v>
      </c>
    </row>
    <row r="47" spans="1:8" s="187" customFormat="1">
      <c r="A47" s="182">
        <f>IF(E$14&gt;=Dates!A26,Dates!A26,IF(E$14=Dates!A25,Languages!$B$136,""))</f>
        <v>26</v>
      </c>
      <c r="B47" s="179" t="str">
        <f>IF(E$14&gt;=Dates!A26,Dates!B26,"")</f>
        <v>02.02.17</v>
      </c>
      <c r="C47" s="184">
        <f>IF(E$14=Dates!A18,Languages!$B$86,IF(E$14=Dates!A19,Languages!$B$90,IF(E$14=Dates!A20,"_____________________",IF(E$14=Dates!A22,Languages!$B$88,IF(E$14=Dates!A23,Languages!$B$81,IF(E$14&gt;=Dates!A26,H46,""))))))</f>
        <v>19621.289142516427</v>
      </c>
      <c r="D47" s="185">
        <f>IF(E$14&gt;=Dates!A26,SUM(E47+F47+G47),IF(E$14&gt;=Dates!A25,SUM(D$20:D46),""))</f>
        <v>1985.9035652616938</v>
      </c>
      <c r="E47" s="184">
        <f>IF(E$14&gt;=Dates!A26,(Load!$C$8/12)*C47,IF(E$14&gt;=Dates!A25,SUM(E$20:E46),""))</f>
        <v>359.72363427946783</v>
      </c>
      <c r="F47" s="184">
        <f>IF(E$15&gt;=Dates!A26,Load!C$11-G47,IF(E$14&lt;=Dates!A24,"",IF(E$14&lt;=Dates!A25,SUM(F$20:F46),IF(Languages!B$146=1,Dates!S27,IF(E$14&gt;=Dates!A26,(E$8-Load!$C$11*E$15+Dates!$AF$1)/(E$14-E$15),"")))))</f>
        <v>1626.1799309822259</v>
      </c>
      <c r="G47" s="184">
        <f>IF('Mirror for payments'!$E$14&lt;=Dates!A24,"",IF(E$14=Dates!A25,SUM($G$20:G46),IF(Languages!$B$165=1,0,IF(Languages!$B$165=2,IF(E$14&gt;=Dates!A26,(Load!$D$20-Load!$E$20-G$20)/E$14,IF(E$14=Dates!A25,SUM($G$20:G46),""))))))</f>
        <v>0</v>
      </c>
      <c r="H47" s="184">
        <f>IF(E$14&gt;=Dates!A26,SUM(C47-F47-G47),IF(E$14=Dates!A19,Languages!$B$84,IF(E$14=Dates!A20,"_____________________",IF(E$14=Dates!A23,Languages!$B$82,IF(E$14=Dates!A22,Languages!$B$83,IF(E$14=Dates!A18,Languages!$B$87,""))))))</f>
        <v>17995.1092115342</v>
      </c>
    </row>
    <row r="48" spans="1:8" s="187" customFormat="1">
      <c r="A48" s="182">
        <f>IF(E$14&gt;=Dates!A27,Dates!A27,IF(E$14=Dates!A26,Languages!$B$136,""))</f>
        <v>27</v>
      </c>
      <c r="B48" s="179" t="str">
        <f>IF(E$14&gt;=Dates!A27,Dates!B27,"")</f>
        <v>02.03.17</v>
      </c>
      <c r="C48" s="184">
        <f>IF(E$14=Dates!A19,Languages!$B$86,IF(E$14=Dates!A20,Languages!$B$90,IF(E$14=Dates!A21,"_____________________",IF(E$14=Dates!A23,Languages!$B$88,IF(E$14=Dates!A24,Languages!$B$81,IF(E$14&gt;=Dates!A27,H47,""))))))</f>
        <v>17995.1092115342</v>
      </c>
      <c r="D48" s="185">
        <f>IF(E$14&gt;=Dates!A27,SUM(E48+F48+G48),IF(E$14&gt;=Dates!A26,SUM(D$20:D47),""))</f>
        <v>1985.9035652616938</v>
      </c>
      <c r="E48" s="184">
        <f>IF(E$14&gt;=Dates!A27,(Load!$C$8/12)*C48,IF(E$14&gt;=Dates!A26,SUM(E$20:E47),""))</f>
        <v>329.91033554479367</v>
      </c>
      <c r="F48" s="184">
        <f>IF(E$15&gt;=Dates!A27,Load!C$11-G48,IF(E$14&lt;=Dates!A25,"",IF(E$14&lt;=Dates!A26,SUM(F$20:F47),IF(Languages!B$146=1,Dates!S28,IF(E$14&gt;=Dates!A27,(E$8-Load!$C$11*E$15+Dates!$AF$1)/(E$14-E$15),"")))))</f>
        <v>1655.9932297169</v>
      </c>
      <c r="G48" s="184">
        <f>IF('Mirror for payments'!$E$14&lt;=Dates!A25,"",IF(E$14=Dates!A26,SUM($G$20:G47),IF(Languages!$B$165=1,0,IF(Languages!$B$165=2,IF(E$14&gt;=Dates!A27,(Load!$D$20-Load!$E$20-G$20)/E$14,IF(E$14=Dates!A26,SUM($G$20:G47),""))))))</f>
        <v>0</v>
      </c>
      <c r="H48" s="184">
        <f>IF(E$14&gt;=Dates!A27,SUM(C48-F48-G48),IF(E$14=Dates!A20,Languages!$B$84,IF(E$14=Dates!A21,"_____________________",IF(E$14=Dates!A24,Languages!$B$82,IF(E$14=Dates!A23,Languages!$B$83,IF(E$14=Dates!A19,Languages!$B$87,""))))))</f>
        <v>16339.1159818173</v>
      </c>
    </row>
    <row r="49" spans="1:8" s="187" customFormat="1">
      <c r="A49" s="182">
        <f>IF(E$14&gt;=Dates!A28,Dates!A28,IF(E$14=Dates!A27,Languages!$B$136,""))</f>
        <v>28</v>
      </c>
      <c r="B49" s="179" t="str">
        <f>IF(E$14&gt;=Dates!A28,Dates!B28,"")</f>
        <v>02.04.17</v>
      </c>
      <c r="C49" s="184">
        <f>IF(E$14=Dates!A20,Languages!$B$86,IF(E$14=Dates!A21,Languages!$B$90,IF(E$14=Dates!A22,"_____________________",IF(E$14=Dates!A24,Languages!$B$88,IF(E$14=Dates!A25,Languages!$B$81,IF(E$14&gt;=Dates!A28,H48,""))))))</f>
        <v>16339.1159818173</v>
      </c>
      <c r="D49" s="185">
        <f>IF(E$14&gt;=Dates!A28,SUM(E49+F49+G49),IF(E$14&gt;=Dates!A27,SUM(D$20:D48),""))</f>
        <v>1985.9035652616938</v>
      </c>
      <c r="E49" s="184">
        <f>IF(E$14&gt;=Dates!A28,(Load!$C$8/12)*C49,IF(E$14&gt;=Dates!A27,SUM(E$20:E48),""))</f>
        <v>299.55045966665051</v>
      </c>
      <c r="F49" s="184">
        <f>IF(E$15&gt;=Dates!A28,Load!C$11-G49,IF(E$14&lt;=Dates!A26,"",IF(E$14&lt;=Dates!A27,SUM(F$20:F48),IF(Languages!B$146=1,Dates!S29,IF(E$14&gt;=Dates!A28,(E$8-Load!$C$11*E$15+Dates!$AF$1)/(E$14-E$15),"")))))</f>
        <v>1686.3531055950432</v>
      </c>
      <c r="G49" s="184">
        <f>IF('Mirror for payments'!$E$14&lt;=Dates!A26,"",IF(E$14=Dates!A27,SUM($G$20:G48),IF(Languages!$B$165=1,0,IF(Languages!$B$165=2,IF(E$14&gt;=Dates!A28,(Load!$D$20-Load!$E$20-G$20)/E$14,IF(E$14=Dates!A27,SUM($G$20:G48),""))))))</f>
        <v>0</v>
      </c>
      <c r="H49" s="184">
        <f>IF(E$14&gt;=Dates!A28,SUM(C49-F49-G49),IF(E$14=Dates!A21,Languages!$B$84,IF(E$14=Dates!A22,"_____________________",IF(E$14=Dates!A25,Languages!$B$82,IF(E$14=Dates!A24,Languages!$B$83,IF(E$14=Dates!A20,Languages!$B$87,""))))))</f>
        <v>14652.762876222258</v>
      </c>
    </row>
    <row r="50" spans="1:8" s="187" customFormat="1">
      <c r="A50" s="182">
        <f>IF(E$14&gt;=Dates!A29,Dates!A29,IF(E$14=Dates!A28,Languages!$B$136,""))</f>
        <v>29</v>
      </c>
      <c r="B50" s="179" t="str">
        <f>IF(E$14&gt;=Dates!A29,Dates!B29,"")</f>
        <v>02.05.17</v>
      </c>
      <c r="C50" s="184">
        <f>IF(E$14=Dates!A21,Languages!$B$86,IF(E$14=Dates!A22,Languages!$B$90,IF(E$14=Dates!A23,"_____________________",IF(E$14=Dates!A25,Languages!$B$88,IF(E$14=Dates!A26,Languages!$B$81,IF(E$14&gt;=Dates!A29,H49,""))))))</f>
        <v>14652.762876222258</v>
      </c>
      <c r="D50" s="185">
        <f>IF(E$14&gt;=Dates!A29,SUM(E50+F50+G50),IF(E$14&gt;=Dates!A28,SUM(D$20:D49),""))</f>
        <v>1985.903565261694</v>
      </c>
      <c r="E50" s="184">
        <f>IF(E$14&gt;=Dates!A29,(Load!$C$8/12)*C50,IF(E$14&gt;=Dates!A28,SUM(E$20:E49),""))</f>
        <v>268.63398606407475</v>
      </c>
      <c r="F50" s="184">
        <f>IF(E$15&gt;=Dates!A29,Load!C$11-G50,IF(E$14&lt;=Dates!A27,"",IF(E$14&lt;=Dates!A28,SUM(F$20:F49),IF(Languages!B$146=1,Dates!S30,IF(E$14&gt;=Dates!A29,(E$8-Load!$C$11*E$15+Dates!$AF$1)/(E$14-E$15),"")))))</f>
        <v>1717.2695791976191</v>
      </c>
      <c r="G50" s="184">
        <f>IF('Mirror for payments'!$E$14&lt;=Dates!A27,"",IF(E$14=Dates!A28,SUM($G$20:G49),IF(Languages!$B$165=1,0,IF(Languages!$B$165=2,IF(E$14&gt;=Dates!A29,(Load!$D$20-Load!$E$20-G$20)/E$14,IF(E$14=Dates!A28,SUM($G$20:G49),""))))))</f>
        <v>0</v>
      </c>
      <c r="H50" s="184">
        <f>IF(E$14&gt;=Dates!A29,SUM(C50-F50-G50),IF(E$14=Dates!A22,Languages!$B$84,IF(E$14=Dates!A23,"_____________________",IF(E$14=Dates!A26,Languages!$B$82,IF(E$14=Dates!A25,Languages!$B$83,IF(E$14=Dates!A21,Languages!$B$87,""))))))</f>
        <v>12935.493297024639</v>
      </c>
    </row>
    <row r="51" spans="1:8" s="187" customFormat="1">
      <c r="A51" s="182">
        <f>IF(E$14&gt;=Dates!A30,Dates!A30,IF(E$14=Dates!A29,Languages!$B$136,""))</f>
        <v>30</v>
      </c>
      <c r="B51" s="179" t="str">
        <f>IF(E$14&gt;=Dates!A30,Dates!B30,"")</f>
        <v>02.06.17</v>
      </c>
      <c r="C51" s="184">
        <f>IF(E$14=Dates!A22,Languages!$B$86,IF(E$14=Dates!A23,Languages!$B$90,IF(E$14=Dates!A24,"_____________________",IF(E$14=Dates!A26,Languages!$B$88,IF(E$14=Dates!A27,Languages!$B$81,IF(E$14&gt;=Dates!A30,H50,""))))))</f>
        <v>12935.493297024639</v>
      </c>
      <c r="D51" s="185">
        <f>IF(E$14&gt;=Dates!A30,SUM(E51+F51+G51),IF(E$14&gt;=Dates!A29,SUM(D$20:D50),""))</f>
        <v>1985.9035652616938</v>
      </c>
      <c r="E51" s="184">
        <f>IF(E$14&gt;=Dates!A30,(Load!$C$8/12)*C51,IF(E$14&gt;=Dates!A29,SUM(E$20:E50),""))</f>
        <v>237.15071044545172</v>
      </c>
      <c r="F51" s="184">
        <f>IF(E$15&gt;=Dates!A30,Load!C$11-G51,IF(E$14&lt;=Dates!A28,"",IF(E$14&lt;=Dates!A29,SUM(F$20:F50),IF(Languages!B$146=1,Dates!S31,IF(E$14&gt;=Dates!A30,(E$8-Load!$C$11*E$15+Dates!$AF$1)/(E$14-E$15),"")))))</f>
        <v>1748.752854816242</v>
      </c>
      <c r="G51" s="184">
        <f>IF('Mirror for payments'!$E$14&lt;=Dates!A28,"",IF(E$14=Dates!A29,SUM($G$20:G50),IF(Languages!$B$165=1,0,IF(Languages!$B$165=2,IF(E$14&gt;=Dates!A30,(Load!$D$20-Load!$E$20-G$20)/E$14,IF(E$14=Dates!A29,SUM($G$20:G50),""))))))</f>
        <v>0</v>
      </c>
      <c r="H51" s="184">
        <f>IF(E$14&gt;=Dates!A30,SUM(C51-F51-G51),IF(E$14=Dates!A23,Languages!$B$84,IF(E$14=Dates!A24,"_____________________",IF(E$14=Dates!A27,Languages!$B$82,IF(E$14=Dates!A26,Languages!$B$83,IF(E$14=Dates!A22,Languages!$B$87,""))))))</f>
        <v>11186.740442208396</v>
      </c>
    </row>
    <row r="52" spans="1:8" s="187" customFormat="1">
      <c r="A52" s="182">
        <f>IF(E$14&gt;=Dates!A31,Dates!A31,IF(E$14=Dates!A30,Languages!$B$136,""))</f>
        <v>31</v>
      </c>
      <c r="B52" s="179" t="str">
        <f>IF(E$14&gt;=Dates!A31,Dates!B31,"")</f>
        <v>02.07.17</v>
      </c>
      <c r="C52" s="184">
        <f>IF(E$14=Dates!A23,Languages!$B$86,IF(E$14=Dates!A24,Languages!$B$90,IF(E$14=Dates!A25,"_____________________",IF(E$14=Dates!A27,Languages!$B$88,IF(E$14=Dates!A28,Languages!$B$81,IF(E$14&gt;=Dates!A31,H51,""))))))</f>
        <v>11186.740442208396</v>
      </c>
      <c r="D52" s="185">
        <f>IF(E$14&gt;=Dates!A31,SUM(E52+F52+G52),IF(E$14&gt;=Dates!A30,SUM(D$20:D51),""))</f>
        <v>1985.9035652616938</v>
      </c>
      <c r="E52" s="184">
        <f>IF(E$14&gt;=Dates!A31,(Load!$C$8/12)*C52,IF(E$14&gt;=Dates!A30,SUM(E$20:E51),""))</f>
        <v>205.09024144048726</v>
      </c>
      <c r="F52" s="184">
        <f>IF(E$15&gt;=Dates!A31,Load!C$11-G52,IF(E$14&lt;=Dates!A29,"",IF(E$14&lt;=Dates!A30,SUM(F$20:F51),IF(Languages!B$146=1,Dates!S32,IF(E$14&gt;=Dates!A31,(E$8-Load!$C$11*E$15+Dates!$AF$1)/(E$14-E$15),"")))))</f>
        <v>1780.8133238212065</v>
      </c>
      <c r="G52" s="184">
        <f>IF('Mirror for payments'!$E$14&lt;=Dates!A29,"",IF(E$14=Dates!A30,SUM($G$20:G51),IF(Languages!$B$165=1,0,IF(Languages!$B$165=2,IF(E$14&gt;=Dates!A31,(Load!$D$20-Load!$E$20-G$20)/E$14,IF(E$14=Dates!A30,SUM($G$20:G51),""))))))</f>
        <v>0</v>
      </c>
      <c r="H52" s="184">
        <f>IF(E$14&gt;=Dates!A31,SUM(C52-F52-G52),IF(E$14=Dates!A24,Languages!$B$84,IF(E$14=Dates!A25,"_____________________",IF(E$14=Dates!A28,Languages!$B$82,IF(E$14=Dates!A27,Languages!$B$83,IF(E$14=Dates!A23,Languages!$B$87,""))))))</f>
        <v>9405.9271183871897</v>
      </c>
    </row>
    <row r="53" spans="1:8" s="187" customFormat="1">
      <c r="A53" s="182">
        <f>IF(E$14&gt;=Dates!A32,Dates!A32,IF(E$14=Dates!A31,Languages!$B$136,""))</f>
        <v>32</v>
      </c>
      <c r="B53" s="179" t="str">
        <f>IF(E$14&gt;=Dates!A32,Dates!B32,"")</f>
        <v>02.08.17</v>
      </c>
      <c r="C53" s="184">
        <f>IF(E$14=Dates!A24,Languages!$B$86,IF(E$14=Dates!A25,Languages!$B$90,IF(E$14=Dates!A26,"_____________________",IF(E$14=Dates!A28,Languages!$B$88,IF(E$14=Dates!A29,Languages!$B$81,IF(E$14&gt;=Dates!A32,H52,""))))))</f>
        <v>9405.9271183871897</v>
      </c>
      <c r="D53" s="185">
        <f>IF(E$14&gt;=Dates!A32,SUM(E53+F53+G53),IF(E$14&gt;=Dates!A31,SUM(D$20:D52),""))</f>
        <v>1985.903565261694</v>
      </c>
      <c r="E53" s="184">
        <f>IF(E$14&gt;=Dates!A32,(Load!$C$8/12)*C53,IF(E$14&gt;=Dates!A31,SUM(E$20:E52),""))</f>
        <v>172.44199717043182</v>
      </c>
      <c r="F53" s="184">
        <f>IF(E$15&gt;=Dates!A32,Load!C$11-G53,IF(E$14&lt;=Dates!A30,"",IF(E$14&lt;=Dates!A31,SUM(F$20:F52),IF(Languages!B$146=1,Dates!S33,IF(E$14&gt;=Dates!A32,(E$8-Load!$C$11*E$15+Dates!$AF$1)/(E$14-E$15),"")))))</f>
        <v>1813.4615680912621</v>
      </c>
      <c r="G53" s="184">
        <f>IF('Mirror for payments'!$E$14&lt;=Dates!A30,"",IF(E$14=Dates!A31,SUM($G$20:G52),IF(Languages!$B$165=1,0,IF(Languages!$B$165=2,IF(E$14&gt;=Dates!A32,(Load!$D$20-Load!$E$20-G$20)/E$14,IF(E$14=Dates!A31,SUM($G$20:G52),""))))))</f>
        <v>0</v>
      </c>
      <c r="H53" s="184">
        <f>IF(E$14&gt;=Dates!A32,SUM(C53-F53-G53),IF(E$14=Dates!A25,Languages!$B$84,IF(E$14=Dates!A26,"_____________________",IF(E$14=Dates!A29,Languages!$B$82,IF(E$14=Dates!A28,Languages!$B$83,IF(E$14=Dates!A24,Languages!$B$87,""))))))</f>
        <v>7592.4655502959276</v>
      </c>
    </row>
    <row r="54" spans="1:8" s="187" customFormat="1">
      <c r="A54" s="182">
        <f>IF(E$14&gt;=Dates!A33,Dates!A33,IF(E$14=Dates!A32,Languages!$B$136,""))</f>
        <v>33</v>
      </c>
      <c r="B54" s="179" t="str">
        <f>IF(E$14&gt;=Dates!A33,Dates!B33,"")</f>
        <v>02.09.17</v>
      </c>
      <c r="C54" s="184">
        <f>IF(E$14=Dates!A25,Languages!$B$86,IF(E$14=Dates!A26,Languages!$B$90,IF(E$14=Dates!A27,"_____________________",IF(E$14=Dates!A29,Languages!$B$88,IF(E$14=Dates!A30,Languages!$B$81,IF(E$14&gt;=Dates!A33,H53,""))))))</f>
        <v>7592.4655502959276</v>
      </c>
      <c r="D54" s="185">
        <f>IF(E$14&gt;=Dates!A33,SUM(E54+F54+G54),IF(E$14&gt;=Dates!A32,SUM(D$20:D53),""))</f>
        <v>1985.9035652616938</v>
      </c>
      <c r="E54" s="184">
        <f>IF(E$14&gt;=Dates!A33,(Load!$C$8/12)*C54,IF(E$14&gt;=Dates!A32,SUM(E$20:E53),""))</f>
        <v>139.19520175542533</v>
      </c>
      <c r="F54" s="184">
        <f>IF(E$15&gt;=Dates!A33,Load!C$11-G54,IF(E$14&lt;=Dates!A31,"",IF(E$14&lt;=Dates!A32,SUM(F$20:F53),IF(Languages!B$146=1,Dates!S34,IF(E$14&gt;=Dates!A33,(E$8-Load!$C$11*E$15+Dates!$AF$1)/(E$14-E$15),"")))))</f>
        <v>1846.7083635062684</v>
      </c>
      <c r="G54" s="184">
        <f>IF('Mirror for payments'!$E$14&lt;=Dates!A31,"",IF(E$14=Dates!A32,SUM($G$20:G53),IF(Languages!$B$165=1,0,IF(Languages!$B$165=2,IF(E$14&gt;=Dates!A33,(Load!$D$20-Load!$E$20-G$20)/E$14,IF(E$14=Dates!A32,SUM($G$20:G53),""))))))</f>
        <v>0</v>
      </c>
      <c r="H54" s="184">
        <f>IF(E$14&gt;=Dates!A33,SUM(C54-F54-G54),IF(E$14=Dates!A26,Languages!$B$84,IF(E$14=Dates!A27,"_____________________",IF(E$14=Dates!A30,Languages!$B$82,IF(E$14=Dates!A29,Languages!$B$83,IF(E$14=Dates!A25,Languages!$B$87,""))))))</f>
        <v>5745.7571867896595</v>
      </c>
    </row>
    <row r="55" spans="1:8" s="187" customFormat="1">
      <c r="A55" s="182">
        <f>IF(E$14&gt;=Dates!A34,Dates!A34,IF(E$14=Dates!A33,Languages!$B$136,""))</f>
        <v>34</v>
      </c>
      <c r="B55" s="179" t="str">
        <f>IF(E$14&gt;=Dates!A34,Dates!B34,"")</f>
        <v>02.10.17</v>
      </c>
      <c r="C55" s="184">
        <f>IF(E$14=Dates!A26,Languages!$B$86,IF(E$14=Dates!A27,Languages!$B$90,IF(E$14=Dates!A28,"_____________________",IF(E$14=Dates!A30,Languages!$B$88,IF(E$14=Dates!A31,Languages!$B$81,IF(E$14&gt;=Dates!A34,H54,""))))))</f>
        <v>5745.7571867896595</v>
      </c>
      <c r="D55" s="185">
        <f>IF(E$14&gt;=Dates!A34,SUM(E55+F55+G55),IF(E$14&gt;=Dates!A33,SUM(D$20:D54),""))</f>
        <v>1985.9035652616938</v>
      </c>
      <c r="E55" s="184">
        <f>IF(E$14&gt;=Dates!A34,(Load!$C$8/12)*C55,IF(E$14&gt;=Dates!A33,SUM(E$20:E54),""))</f>
        <v>105.33888175781043</v>
      </c>
      <c r="F55" s="184">
        <f>IF(E$15&gt;=Dates!A34,Load!C$11-G55,IF(E$14&lt;=Dates!A32,"",IF(E$14&lt;=Dates!A33,SUM(F$20:F54),IF(Languages!B$146=1,Dates!S35,IF(E$14&gt;=Dates!A34,(E$8-Load!$C$11*E$15+Dates!$AF$1)/(E$14-E$15),"")))))</f>
        <v>1880.5646835038833</v>
      </c>
      <c r="G55" s="184">
        <f>IF('Mirror for payments'!$E$14&lt;=Dates!A32,"",IF(E$14=Dates!A33,SUM($G$20:G54),IF(Languages!$B$165=1,0,IF(Languages!$B$165=2,IF(E$14&gt;=Dates!A34,(Load!$D$20-Load!$E$20-G$20)/E$14,IF(E$14=Dates!A33,SUM($G$20:G54),""))))))</f>
        <v>0</v>
      </c>
      <c r="H55" s="184">
        <f>IF(E$14&gt;=Dates!A34,SUM(C55-F55-G55),IF(E$14=Dates!A27,Languages!$B$84,IF(E$14=Dates!A28,"_____________________",IF(E$14=Dates!A31,Languages!$B$82,IF(E$14=Dates!A30,Languages!$B$83,IF(E$14=Dates!A26,Languages!$B$87,""))))))</f>
        <v>3865.1925032857762</v>
      </c>
    </row>
    <row r="56" spans="1:8" s="187" customFormat="1">
      <c r="A56" s="182">
        <f>IF(E$14&gt;=Dates!A35,Dates!A35,IF(E$14=Dates!A34,Languages!$B$136,""))</f>
        <v>35</v>
      </c>
      <c r="B56" s="179" t="str">
        <f>IF(E$14&gt;=Dates!A35,Dates!B35,"")</f>
        <v>02.11.17</v>
      </c>
      <c r="C56" s="184">
        <f>IF(E$14=Dates!A27,Languages!$B$86,IF(E$14=Dates!A28,Languages!$B$90,IF(E$14=Dates!A29,"_____________________",IF(E$14=Dates!A31,Languages!$B$88,IF(E$14=Dates!A32,Languages!$B$81,IF(E$14&gt;=Dates!A35,H55,""))))))</f>
        <v>3865.1925032857762</v>
      </c>
      <c r="D56" s="185">
        <f>IF(E$14&gt;=Dates!A35,SUM(E56+F56+G56),IF(E$14&gt;=Dates!A34,SUM(D$20:D55),""))</f>
        <v>1985.9035652616938</v>
      </c>
      <c r="E56" s="184">
        <f>IF(E$14&gt;=Dates!A35,(Load!$C$8/12)*C56,IF(E$14&gt;=Dates!A34,SUM(E$20:E55),""))</f>
        <v>70.861862560239231</v>
      </c>
      <c r="F56" s="184">
        <f>IF(E$15&gt;=Dates!A35,Load!C$11-G56,IF(E$14&lt;=Dates!A33,"",IF(E$14&lt;=Dates!A34,SUM(F$20:F55),IF(Languages!B$146=1,Dates!S36,IF(E$14&gt;=Dates!A35,(E$8-Load!$C$11*E$15+Dates!$AF$1)/(E$14-E$15),"")))))</f>
        <v>1915.0417027014546</v>
      </c>
      <c r="G56" s="184">
        <f>IF('Mirror for payments'!$E$14&lt;=Dates!A33,"",IF(E$14=Dates!A34,SUM($G$20:G55),IF(Languages!$B$165=1,0,IF(Languages!$B$165=2,IF(E$14&gt;=Dates!A35,(Load!$D$20-Load!$E$20-G$20)/E$14,IF(E$14=Dates!A34,SUM($G$20:G55),""))))))</f>
        <v>0</v>
      </c>
      <c r="H56" s="184">
        <f>IF(E$14&gt;=Dates!A35,SUM(C56-F56-G56),IF(E$14=Dates!A28,Languages!$B$84,IF(E$14=Dates!A29,"_____________________",IF(E$14=Dates!A32,Languages!$B$82,IF(E$14=Dates!A31,Languages!$B$83,IF(E$14=Dates!A27,Languages!$B$87,""))))))</f>
        <v>1950.1508005843216</v>
      </c>
    </row>
    <row r="57" spans="1:8" s="187" customFormat="1">
      <c r="A57" s="182">
        <f>IF(E$14&gt;=Dates!A36,Dates!A36,IF(E$14=Dates!A35,Languages!$B$136,""))</f>
        <v>36</v>
      </c>
      <c r="B57" s="179" t="str">
        <f>IF(E$14&gt;=Dates!A36,Dates!B36,"")</f>
        <v>02.12.17</v>
      </c>
      <c r="C57" s="184">
        <f>IF(E$14=Dates!A28,Languages!$B$86,IF(E$14=Dates!A29,Languages!$B$90,IF(E$14=Dates!A30,"_____________________",IF(E$14=Dates!A32,Languages!$B$88,IF(E$14=Dates!A33,Languages!$B$81,IF(E$14&gt;=Dates!A36,H56,""))))))</f>
        <v>1950.1508005843216</v>
      </c>
      <c r="D57" s="185">
        <f>IF(E$14&gt;=Dates!A36,SUM(E57+F57+G57),IF(E$14&gt;=Dates!A35,SUM(D$20:D56),""))</f>
        <v>1985.9035652616938</v>
      </c>
      <c r="E57" s="184">
        <f>IF(E$14&gt;=Dates!A36,(Load!$C$8/12)*C57,IF(E$14&gt;=Dates!A35,SUM(E$20:E56),""))</f>
        <v>35.752764677379233</v>
      </c>
      <c r="F57" s="184">
        <f>IF(E$15&gt;=Dates!A36,Load!C$11-G57,IF(E$14&lt;=Dates!A34,"",IF(E$14&lt;=Dates!A35,SUM(F$20:F56),IF(Languages!B$146=1,Dates!S37,IF(E$14&gt;=Dates!A36,(E$8-Load!$C$11*E$15+Dates!$AF$1)/(E$14-E$15),"")))))</f>
        <v>1950.1508005843145</v>
      </c>
      <c r="G57" s="184">
        <f>IF('Mirror for payments'!$E$14&lt;=Dates!A34,"",IF(E$14=Dates!A35,SUM($G$20:G56),IF(Languages!$B$165=1,0,IF(Languages!$B$165=2,IF(E$14&gt;=Dates!A36,(Load!$D$20-Load!$E$20-G$20)/E$14,IF(E$14=Dates!A35,SUM($G$20:G56),""))))))</f>
        <v>0</v>
      </c>
      <c r="H57" s="184">
        <f>IF(E$14&gt;=Dates!A36,SUM(C57-F57-G57),IF(E$14=Dates!A29,Languages!$B$84,IF(E$14=Dates!A30,"_____________________",IF(E$14=Dates!A33,Languages!$B$82,IF(E$14=Dates!A32,Languages!$B$83,IF(E$14=Dates!A28,Languages!$B$87,""))))))</f>
        <v>7.0485839387401938E-12</v>
      </c>
    </row>
    <row r="58" spans="1:8" s="187" customFormat="1">
      <c r="A58" s="182" t="str">
        <f>IF(E$14&gt;=Dates!A37,Dates!A37,IF(E$14=Dates!A36,Languages!$B$136,""))</f>
        <v>Cəmi</v>
      </c>
      <c r="B58" s="179" t="str">
        <f>IF(E$14&gt;=Dates!A37,Dates!B37,"")</f>
        <v/>
      </c>
      <c r="C58" s="184" t="str">
        <f>IF(E$14=Dates!A29,Languages!$B$86,IF(E$14=Dates!A30,Languages!$B$90,IF(E$14=Dates!A31,"_____________________",IF(E$14=Dates!A33,Languages!$B$88,IF(E$14=Dates!A34,Languages!$B$81,IF(E$14&gt;=Dates!A37,H57,""))))))</f>
        <v/>
      </c>
      <c r="D58" s="185">
        <f>IF(E$14&gt;=Dates!A37,SUM(E58+F58+G58),IF(E$14&gt;=Dates!A36,SUM(D$20:D57),""))</f>
        <v>73052.528349420987</v>
      </c>
      <c r="E58" s="184">
        <f>IF(E$14&gt;=Dates!A37,(Load!$C$8/12)*C58,IF(E$14&gt;=Dates!A36,SUM(E$20:E57),""))</f>
        <v>21052.528349420976</v>
      </c>
      <c r="F58" s="184">
        <f>IF(E$15&gt;=Dates!A37,Load!C$11-G58,IF(E$14&lt;=Dates!A35,"",IF(E$14&lt;=Dates!A36,SUM(F$20:F57),IF(Languages!B$146=1,Dates!S38,IF(E$14&gt;=Dates!A37,(E$8-Load!$C$11*E$15+Dates!$AF$1)/(E$14-E$15),"")))))</f>
        <v>52000.000000000007</v>
      </c>
      <c r="G58" s="184">
        <f>IF('Mirror for payments'!$E$14&lt;=Dates!A35,"",IF(E$14=Dates!A36,SUM($G$20:G57),IF(Languages!$B$165=1,0,IF(Languages!$B$165=2,IF(E$14&gt;=Dates!A37,(Load!$D$20-Load!$E$20-G$20)/E$14,IF(E$14=Dates!A36,SUM($G$20:G57),""))))))</f>
        <v>0</v>
      </c>
      <c r="H58" s="184"/>
    </row>
    <row r="59" spans="1:8" s="152" customFormat="1">
      <c r="A59" s="152" t="str">
        <f>IF(E$14&gt;=Dates!A38,Dates!A38,IF(E$14=Dates!A37,Languages!$B$136,""))</f>
        <v/>
      </c>
      <c r="B59" s="193" t="str">
        <f>IF(E$14&gt;=Dates!A38,Dates!B38,"")</f>
        <v/>
      </c>
      <c r="C59" s="153" t="str">
        <f>IF(E$14=Dates!A30,Languages!$B$86,IF(E$14=Dates!A31,Languages!$B$90,IF(E$14=Dates!A32,"_____________________",IF(E$14=Dates!A34,Languages!$B$88,IF(E$14=Dates!A35,Languages!$B$81,IF(E$14&gt;=Dates!A38,H58,""))))))</f>
        <v/>
      </c>
      <c r="D59" s="190" t="str">
        <f>IF(E$14&gt;=Dates!A38,SUM(E59+F59+G59),IF(E$14&gt;=Dates!A37,SUM(D$20:D58),""))</f>
        <v/>
      </c>
      <c r="E59" s="153" t="str">
        <f>IF(E$14&gt;=Dates!A38,(Load!$C$8/12)*C59,IF(E$14&gt;=Dates!A37,SUM(E$20:E58),""))</f>
        <v/>
      </c>
      <c r="F59" s="153" t="str">
        <f>IF(E$15&gt;=Dates!A38,Load!C$11-G59,IF(E$14&lt;=Dates!A36,"",IF(E$14&lt;=Dates!A37,SUM(F$20:F58),IF(Languages!B$146=1,Dates!S39,IF(E$14&gt;=Dates!A38,(E$8-Load!$C$11*E$15+Dates!$AF$1)/(E$14-E$15),"")))))</f>
        <v/>
      </c>
      <c r="G59" s="153" t="str">
        <f>IF('Mirror for payments'!$E$14&lt;=Dates!A36,"",IF(E$14=Dates!A37,SUM($G$20:G58),IF(Languages!$B$165=1,0,IF(Languages!$B$165=2,IF(E$14&gt;=Dates!A38,(Load!$D$20-Load!$E$20-G$20)/E$14,IF(E$14=Dates!A37,SUM($G$20:G58),""))))))</f>
        <v/>
      </c>
      <c r="H59" s="153" t="str">
        <f>IF(E$14&gt;=Dates!A38,SUM(C59-F59-G59),IF(E$14=Dates!A31,Languages!$B$84,IF(E$14=Dates!A32,"_____________________",IF(E$14=Dates!A35,Languages!$B$82,IF(E$14=Dates!A34,Languages!$B$83,IF(E$14=Dates!A30,Languages!$B$87,""))))))</f>
        <v/>
      </c>
    </row>
    <row r="60" spans="1:8" s="142" customFormat="1">
      <c r="A60" s="152" t="str">
        <f>IF(E$14&gt;=Dates!A39,Dates!A39,IF(E$14=Dates!A38,Languages!$B$136,""))</f>
        <v/>
      </c>
      <c r="B60" s="193" t="str">
        <f>IF(E$14&gt;=Dates!A39,Dates!B39,"")</f>
        <v/>
      </c>
      <c r="C60" s="153" t="str">
        <f>IF(E$14=Dates!A31,Languages!$B$86,IF(E$14=Dates!A32,Languages!$B$90,IF(E$14=Dates!A33,"_____________________",IF(E$14=Dates!A35,Languages!$B$88,IF(E$14=Dates!A36,Languages!$B$81,IF(E$14&gt;=Dates!A39,H59,""))))))</f>
        <v>Lizinq verən</v>
      </c>
      <c r="D60" s="190" t="str">
        <f>IF(E$14&gt;=Dates!A39,SUM(E60+F60+G60),IF(E$14&gt;=Dates!A38,SUM(D$20:D59),""))</f>
        <v/>
      </c>
      <c r="E60" s="153" t="str">
        <f>IF(E$14&gt;=Dates!A39,(Load!$C$8/12)*C60,IF(E$14&gt;=Dates!A38,SUM(E$20:E59),""))</f>
        <v/>
      </c>
      <c r="F60" s="153" t="str">
        <f>IF(E$15&gt;=Dates!A39,Load!C$11-G60,IF(E$14&lt;=Dates!A37,"",IF(E$14&lt;=Dates!A38,SUM(F$20:F59),IF(Languages!B$146=1,Dates!S40,IF(E$14&gt;=Dates!A39,(E$8-Load!$C$11*E$15+Dates!$AF$1)/(E$14-E$15),"")))))</f>
        <v/>
      </c>
      <c r="G60" s="153" t="str">
        <f>IF('Mirror for payments'!$E$14&lt;=Dates!A37,"",IF(E$14=Dates!A38,SUM($G$20:G59),IF(Languages!$B$165=1,0,IF(Languages!$B$165=2,IF(E$14&gt;=Dates!A39,(Load!$D$20-Load!$E$20-G$20)/E$14,IF(E$14=Dates!A38,SUM($G$20:G59),""))))))</f>
        <v/>
      </c>
      <c r="H60" s="153" t="str">
        <f>IF(E$14&gt;=Dates!A39,SUM(C60-F60-G60),IF(E$14=Dates!A32,Languages!$B$84,IF(E$14=Dates!A33,"_____________________",IF(E$14=Dates!A36,Languages!$B$82,IF(E$14=Dates!A35,Languages!$B$83,IF(E$14=Dates!A31,Languages!$B$87,""))))))</f>
        <v>Lizinq alan</v>
      </c>
    </row>
    <row r="61" spans="1:8" s="142" customFormat="1">
      <c r="A61" s="152" t="str">
        <f>IF(E$14&gt;=Dates!A40,Dates!A40,IF(E$14=Dates!A39,Languages!$B$136,""))</f>
        <v/>
      </c>
      <c r="B61" s="193" t="str">
        <f>IF(E$14&gt;=Dates!A40,Dates!B40,"")</f>
        <v/>
      </c>
      <c r="C61" s="68" t="str">
        <f>IF(E$14=Dates!A32,Languages!$B$88,IF(E$14=Dates!A33,Languages!$B$88,IF(E$14=Dates!A34,"_____________________",IF(E$14=Dates!A36,Languages!$B$88,IF(E$14=Dates!A37,[1]Languages!$B$81,IF(E$14&gt;=[1]Dates!A40,H60,""))))))</f>
        <v>"AGLizinq" QSC</v>
      </c>
      <c r="D61" s="190" t="str">
        <f>IF(E$14&gt;=Dates!A40,SUM(E61+F61+G61),IF(E$14&gt;=Dates!A39,SUM(D$20:D60),""))</f>
        <v/>
      </c>
      <c r="E61" s="153" t="str">
        <f>IF(E$14&gt;=Dates!A40,(Load!$C$8/12)*C61,IF(E$14&gt;=Dates!A39,SUM(E$20:E60),""))</f>
        <v/>
      </c>
      <c r="F61" s="153" t="str">
        <f>IF(E$15&gt;=Dates!A40,Load!C$11-G61,IF(E$14&lt;=Dates!A38,"",IF(E$14&lt;=Dates!A39,SUM(F$20:F60),IF(Languages!B$146=1,Dates!S41,IF(E$14&gt;=Dates!A40,(E$8-Load!$C$11*E$15+Dates!$AF$1)/(E$14-E$15),"")))))</f>
        <v/>
      </c>
      <c r="G61" s="153" t="str">
        <f>IF('Mirror for payments'!$E$14&lt;=Dates!A38,"",IF(E$14=Dates!A39,SUM($G$20:G60),IF(Languages!$B$165=1,0,IF(Languages!$B$165=2,IF(E$14&gt;=Dates!A40,(Load!$D$20-Load!$E$20-G$20)/E$14,IF(E$14=Dates!A39,SUM($G$20:G60),""))))))</f>
        <v/>
      </c>
      <c r="H61" s="153" t="str">
        <f>IF(E$14&gt;=Dates!A40,SUM(C61-F61-G61),IF(E$14=Dates!A33,Languages!$B$84,IF(E$14=Dates!A34,"_____________________",IF(E$14=Dates!A37,Languages!$B$82,IF(E$14=Dates!A36,Languages!$B$83,IF(E$14=Dates!A32,Languages!$B$87,""))))))</f>
        <v/>
      </c>
    </row>
    <row r="62" spans="1:8" s="142" customFormat="1">
      <c r="A62" s="152" t="str">
        <f>IF(E$14&gt;=Dates!A41,Dates!A41,IF(E$14=Dates!A40,Languages!$B$136,""))</f>
        <v/>
      </c>
      <c r="B62" s="193" t="str">
        <f>IF(E$14&gt;=Dates!A41,Dates!B41,"")</f>
        <v/>
      </c>
      <c r="C62" s="153" t="str">
        <f>IF(E$14=Dates!A33,Languages!$B$86,IF(E$14=Dates!A34,Languages!$B$90,IF(E$14=Dates!A35,"_____________________",IF(E$14=Dates!A37,Languages!$B$88,IF(E$14=Dates!A38,Languages!$B$81,IF(E$14&gt;=Dates!A41,H61,""))))))</f>
        <v/>
      </c>
      <c r="D62" s="190" t="str">
        <f>IF(E$14&gt;=Dates!A41,SUM(E62+F62+G62),IF(E$14&gt;=Dates!A40,SUM(D$20:D61),""))</f>
        <v/>
      </c>
      <c r="E62" s="153" t="str">
        <f>IF(E$14&gt;=Dates!A41,(Load!$C$8/12)*C62,IF(E$14&gt;=Dates!A40,SUM(E$20:E61),""))</f>
        <v/>
      </c>
      <c r="F62" s="153" t="str">
        <f>IF(E$15&gt;=Dates!A41,Load!C$11-G62,IF(E$14&lt;=Dates!A39,"",IF(E$14&lt;=Dates!A40,SUM(F$20:F61),IF(Languages!B$146=1,Dates!S42,IF(E$14&gt;=Dates!A41,(E$8-Load!$C$11*E$15+Dates!$AF$1)/(E$14-E$15),"")))))</f>
        <v/>
      </c>
      <c r="G62" s="153" t="str">
        <f>IF('Mirror for payments'!$E$14&lt;=Dates!A39,"",IF(E$14=Dates!A40,SUM($G$20:G61),IF(Languages!$B$165=1,0,IF(Languages!$B$165=2,IF(E$14&gt;=Dates!A41,(Load!$D$20-Load!$E$20-G$20)/E$14,IF(E$14=Dates!A40,SUM($G$20:G61),""))))))</f>
        <v/>
      </c>
      <c r="H62" s="153" t="str">
        <f>IF(E$14&gt;=Dates!A41,SUM(C62-F62-G62),IF(E$14=Dates!A34,Languages!$B$84,IF(E$14=Dates!A35,"_____________________",IF(E$14=Dates!A38,Languages!$B$82,IF(E$14=Dates!A37,Languages!$B$83,IF(E$14=Dates!A33,Languages!$B$87,""))))))</f>
        <v/>
      </c>
    </row>
    <row r="63" spans="1:8" s="142" customFormat="1">
      <c r="A63" s="152" t="str">
        <f>IF(E$14&gt;=Dates!A42,Dates!A42,IF(E$14=Dates!A41,Languages!$B$136,""))</f>
        <v/>
      </c>
      <c r="B63" s="193" t="str">
        <f>IF(E$14&gt;=Dates!A42,Dates!B42,"")</f>
        <v/>
      </c>
      <c r="C63" s="153" t="str">
        <f>IF(E$14=Dates!A34,Languages!$B$86,IF(E$14=Dates!A35,Languages!$B$90,IF(E$14=Dates!A36,"_____________________",IF(E$14=Dates!A38,Languages!$B$88,IF(E$14=Dates!A39,Languages!$B$81,IF(E$14&gt;=Dates!A42,H62,""))))))</f>
        <v>_____________________</v>
      </c>
      <c r="D63" s="190" t="str">
        <f>IF(E$14&gt;=Dates!A42,SUM(E63+F63+G63),IF(E$14&gt;=Dates!A41,SUM(D$20:D62),""))</f>
        <v/>
      </c>
      <c r="E63" s="153" t="str">
        <f>IF(E$14&gt;=Dates!A42,(Load!$C$8/12)*C63,IF(E$14&gt;=Dates!A41,SUM(E$20:E62),""))</f>
        <v/>
      </c>
      <c r="F63" s="153" t="str">
        <f>IF(E$15&gt;=Dates!A42,Load!C$11-G63,IF(E$14&lt;=Dates!A40,"",IF(E$14&lt;=Dates!A41,SUM(F$20:F62),IF(Languages!B$146=1,Dates!S43,IF(E$14&gt;=Dates!A42,(E$8-Load!$C$11*E$15+Dates!$AF$1)/(E$14-E$15),"")))))</f>
        <v/>
      </c>
      <c r="G63" s="153" t="str">
        <f>IF('Mirror for payments'!$E$14&lt;=Dates!A40,"",IF(E$14=Dates!A41,SUM($G$20:G62),IF(Languages!$B$165=1,0,IF(Languages!$B$165=2,IF(E$14&gt;=Dates!A42,(Load!$D$20-Load!$E$20-G$20)/E$14,IF(E$14=Dates!A41,SUM($G$20:G62),""))))))</f>
        <v/>
      </c>
      <c r="H63" s="153" t="str">
        <f>IF(E$14&gt;=Dates!A42,SUM(C63-F63-G63),IF(E$14=Dates!A35,Languages!$B$84,IF(E$14=Dates!A36,"_________________",IF(E$14=Dates!A39,Languages!$B$82,IF(E$14=Dates!A38,Languages!$B$83,IF(E$14=Dates!A34,Languages!$B$87,""))))))</f>
        <v>_________________</v>
      </c>
    </row>
    <row r="64" spans="1:8" s="142" customFormat="1">
      <c r="A64" s="152" t="str">
        <f>IF(E$14&gt;=Dates!A43,Dates!A43,IF(E$14=Dates!A42,Languages!$B$136,""))</f>
        <v/>
      </c>
      <c r="B64" s="193" t="str">
        <f>IF(E$14&gt;=Dates!A43,Dates!B43,"")</f>
        <v/>
      </c>
      <c r="C64" s="68" t="str">
        <f>IF(E$14=Dates!A35,Languages!$B$86,IF(E$14=Dates!A36,Languages!$B$90,IF(E$14=Dates!A37,"_____________________",IF(E$14=[1]Dates!A39,[1]Languages!$B$88,IF(E$14=[1]Dates!A40,[1]Languages!$B$81,IF(E$14&gt;=[1]Dates!A43,H63,""))))))</f>
        <v>R.İ.Musayev</v>
      </c>
      <c r="D64" s="190" t="str">
        <f>IF(E$14&gt;=Dates!A43,SUM(E64+F64+G64),IF(E$14&gt;=Dates!A42,SUM(D$20:D63),""))</f>
        <v/>
      </c>
      <c r="E64" s="153" t="str">
        <f>IF(E$14&gt;=Dates!A43,(Load!$C$8/12)*C64,IF(E$14&gt;=Dates!A42,SUM(E$20:E63),""))</f>
        <v/>
      </c>
      <c r="F64" s="153" t="str">
        <f>IF(E$15&gt;=Dates!A43,Load!C$11-G64,IF(E$14&lt;=Dates!A41,"",IF(E$14&lt;=Dates!A42,SUM(F$20:F63),IF(Languages!B$146=1,Dates!S44,IF(E$14&gt;=Dates!A43,(E$8-Load!$C$11*E$15+Dates!$AF$1)/(E$14-E$15),"")))))</f>
        <v/>
      </c>
      <c r="G64" s="153" t="str">
        <f>IF('Mirror for payments'!$E$14&lt;=Dates!A41,"",IF(E$14=Dates!A42,SUM($G$20:G63),IF(Languages!$B$165=1,0,IF(Languages!$B$165=2,IF(E$14&gt;=Dates!A43,(Load!$D$20-Load!$E$20-G$20)/E$14,IF(E$14=Dates!A42,SUM($G$20:G63),""))))))</f>
        <v/>
      </c>
      <c r="H64" s="153" t="str">
        <f>IF(E$14&gt;=Dates!A43,SUM(C64-F64-G64),IF(E$14=Dates!A36,Languages!$B$84,IF(E$14=Dates!A37,"_____________________",IF(E$14=Dates!A40,Languages!$B$82,IF(E$14=Dates!A39,Languages!$B$83,IF(E$14=Dates!A35,Languages!$B$87,""))))))</f>
        <v>S.H.Rəsulov</v>
      </c>
    </row>
    <row r="65" spans="1:8" s="142" customFormat="1">
      <c r="A65" s="152" t="str">
        <f>IF(E$14&gt;=Dates!A44,Dates!A44,IF(E$14=Dates!A43,Languages!$B$136,""))</f>
        <v/>
      </c>
      <c r="B65" s="193" t="str">
        <f>IF(E$14&gt;=Dates!A44,Dates!B44,"")</f>
        <v/>
      </c>
      <c r="C65" s="153" t="str">
        <f>IF(E$14=Dates!A36,Languages!$B$86,IF(E$14=Dates!A37,Languages!$B$90,IF(E$14=Dates!A38,"_____________________",IF(E$14=Dates!A40,Languages!$B$88,IF(E$14=Dates!A41,Languages!$B$81,IF(E$14&gt;=Dates!A44,H64,""))))))</f>
        <v>M.Y.</v>
      </c>
      <c r="D65" s="190" t="str">
        <f>IF(E$14&gt;=Dates!A44,SUM(E65+F65+G65),IF(E$14&gt;=Dates!A43,SUM(D$20:D64),""))</f>
        <v/>
      </c>
      <c r="E65" s="153" t="str">
        <f>IF(E$14&gt;=Dates!A44,(Load!$C$8/12)*C65,IF(E$14&gt;=Dates!A43,SUM(E$20:E64),""))</f>
        <v/>
      </c>
      <c r="F65" s="153" t="str">
        <f>IF(E$15&gt;=Dates!A44,Load!C$11-G65,IF(E$14&lt;=Dates!A42,"",IF(E$14&lt;=Dates!A43,SUM(F$20:F64),IF(Languages!B$146=1,Dates!S45,IF(E$14&gt;=Dates!A44,(E$8-Load!$C$11*E$15+Dates!$AF$1)/(E$14-E$15),"")))))</f>
        <v/>
      </c>
      <c r="G65" s="153" t="str">
        <f>IF('Mirror for payments'!$E$14&lt;=Dates!A42,"",IF(E$14=Dates!A43,SUM($G$20:G64),IF(Languages!$B$165=1,0,IF(Languages!$B$165=2,IF(E$14&gt;=Dates!A44,(Load!$D$20-Load!$E$20-G$20)/E$14,IF(E$14=Dates!A43,SUM($G$20:G64),""))))))</f>
        <v/>
      </c>
      <c r="H65" s="153" t="str">
        <f>IF(E$14&gt;=Dates!A44,SUM(C65-F65-G65),IF(E$14=Dates!A37,Languages!$B$84,IF(E$14=Dates!A38,"_____________________",IF(E$14=Dates!A41,Languages!$B$82,IF(E$14=Dates!A40,Languages!$B$83,IF(E$14=Dates!A36,Languages!$B$87,""))))))</f>
        <v/>
      </c>
    </row>
    <row r="66" spans="1:8" s="142" customFormat="1">
      <c r="A66" s="152" t="str">
        <f>IF(E$14&gt;=Dates!A45,Dates!A45,IF(E$14=Dates!A44,Languages!$B$136,""))</f>
        <v/>
      </c>
      <c r="B66" s="193" t="str">
        <f>IF(E$14&gt;=Dates!A45,Dates!B45,"")</f>
        <v/>
      </c>
      <c r="C66" s="153" t="str">
        <f>IF(E$14=Dates!A37,Languages!$B$86,IF(E$14=Dates!A38,Languages!$B$90,IF(E$14=Dates!A39,"_____________________",IF(E$14=Dates!A41,Languages!$B$88,IF(E$14=Dates!A42,Languages!$B$81,IF(E$14&gt;=Dates!A45,H65,""))))))</f>
        <v/>
      </c>
      <c r="D66" s="190" t="str">
        <f>IF(E$14&gt;=Dates!A45,SUM(E66+F66+G66),IF(E$14&gt;=Dates!A44,SUM(D$20:D65),""))</f>
        <v/>
      </c>
      <c r="E66" s="153" t="str">
        <f>IF(E$14&gt;=Dates!A45,(Load!$C$8/12)*C66,IF(E$14&gt;=Dates!A44,SUM(E$20:E65),""))</f>
        <v/>
      </c>
      <c r="F66" s="153" t="str">
        <f>IF(E$15&gt;=Dates!A45,Load!C$11-G66,IF(E$14&lt;=Dates!A43,"",IF(E$14&lt;=Dates!A44,SUM(F$20:F65),IF(Languages!B$146=1,Dates!S46,IF(E$14&gt;=Dates!A45,(E$8-Load!$C$11*E$15+Dates!$AF$1)/(E$14-E$15),"")))))</f>
        <v/>
      </c>
      <c r="G66" s="153" t="str">
        <f>IF('Mirror for payments'!$E$14&lt;=Dates!A43,"",IF(E$14=Dates!A44,SUM($G$20:G65),IF(Languages!$B$165=1,0,IF(Languages!$B$165=2,IF(E$14&gt;=Dates!A45,(Load!$D$20-Load!$E$20-G$20)/E$14,IF(E$14=Dates!A44,SUM($G$20:G65),""))))))</f>
        <v/>
      </c>
      <c r="H66" s="153" t="str">
        <f>IF(E$14&gt;=Dates!A45,SUM(C66-F66-G66),IF(E$14=Dates!A38,Languages!$B$84,IF(E$14=Dates!A39,"_____________________",IF(E$14=Dates!A42,Languages!$B$82,IF(E$14=Dates!A41,Languages!$B$83,IF(E$14=Dates!A37,Languages!$B$87,""))))))</f>
        <v/>
      </c>
    </row>
    <row r="67" spans="1:8" s="142" customFormat="1">
      <c r="A67" s="152" t="str">
        <f>IF(E$14&gt;=Dates!A46,Dates!A46,IF(E$14=Dates!A45,Languages!$B$136,""))</f>
        <v/>
      </c>
      <c r="B67" s="193" t="str">
        <f>IF(E$14&gt;=Dates!A46,Dates!B46,"")</f>
        <v/>
      </c>
      <c r="C67" s="153" t="str">
        <f>IF(E$14=Dates!A38,Languages!$B$86,IF(E$14=Dates!A39,Languages!$B$90,IF(E$14=Dates!A40,"_____________________",IF(E$14=Dates!A42,Languages!$B$88,IF(E$14=Dates!A43,Languages!$B$81,IF(E$14&gt;=Dates!A46,H66,""))))))</f>
        <v/>
      </c>
      <c r="D67" s="190" t="str">
        <f>IF(E$14&gt;=Dates!A46,SUM(E67+F67+G67),IF(E$14&gt;=Dates!A45,SUM(D$20:D66),""))</f>
        <v/>
      </c>
      <c r="E67" s="153" t="str">
        <f>IF(E$14&gt;=Dates!A46,(Load!$C$8/12)*C67,IF(E$14&gt;=Dates!A45,SUM(E$20:E66),""))</f>
        <v/>
      </c>
      <c r="F67" s="153" t="str">
        <f>IF(E$15&gt;=Dates!A46,Load!C$11-G67,IF(E$14&lt;=Dates!A44,"",IF(E$14&lt;=Dates!A45,SUM(F$20:F66),IF(Languages!B$146=1,Dates!S47,IF(E$14&gt;=Dates!A46,(E$8-Load!$C$11*E$15+Dates!$AF$1)/(E$14-E$15),"")))))</f>
        <v/>
      </c>
      <c r="G67" s="153" t="str">
        <f>IF('Mirror for payments'!$E$14&lt;=Dates!A44,"",IF(E$14=Dates!A45,SUM($G$20:G66),IF(Languages!$B$165=1,0,IF(Languages!$B$165=2,IF(E$14&gt;=Dates!A46,(Load!$D$20-Load!$E$20-G$20)/E$14,IF(E$14=Dates!A45,SUM($G$20:G66),""))))))</f>
        <v/>
      </c>
      <c r="H67" s="153" t="str">
        <f>IF(E$14&gt;=Dates!A46,SUM(C67-F67-G67),IF(E$14=Dates!A39,Languages!$B$84,IF(E$14=Dates!A40,"_____________________",IF(E$14=Dates!A43,Languages!$B$82,IF(E$14=Dates!A42,Languages!$B$83,IF(E$14=Dates!A38,Languages!$B$87,""))))))</f>
        <v/>
      </c>
    </row>
    <row r="68" spans="1:8">
      <c r="A68" s="187" t="str">
        <f>IF(E$14&gt;=Dates!A47,Dates!A47,IF(E$14=Dates!A46,Languages!$B$136,""))</f>
        <v/>
      </c>
      <c r="B68" s="188" t="str">
        <f>IF(E$14&gt;=Dates!A47,Dates!B47,"")</f>
        <v/>
      </c>
      <c r="C68" s="189" t="str">
        <f>IF(E$14=Dates!A39,Languages!$B$86,IF(E$14=Dates!A40,Languages!$B$90,IF(E$14=Dates!A41,"_____________________",IF(E$14=Dates!A43,Languages!$B$88,IF(E$14=Dates!A44,Languages!$B$81,IF(E$14&gt;=Dates!A47,H67,""))))))</f>
        <v/>
      </c>
      <c r="D68" s="190" t="str">
        <f>IF(E$14&gt;=Dates!A47,SUM(E68+F68+G68),IF(E$14&gt;=Dates!A46,SUM(D$20:D67),""))</f>
        <v/>
      </c>
      <c r="E68" s="189" t="str">
        <f>IF(E$14&gt;=Dates!A47,(Load!$C$8/12)*C68,IF(E$14&gt;=Dates!A46,SUM(E$20:E67),""))</f>
        <v/>
      </c>
      <c r="F68" s="189" t="str">
        <f>IF(E$15&gt;=Dates!A47,Load!C$11-G68,IF(E$14&lt;=Dates!A45,"",IF(E$14&lt;=Dates!A46,SUM(F$20:F67),IF(Languages!B$146=1,Dates!S48,IF(E$14&gt;=Dates!A47,(E$8-Load!$C$11*E$15+Dates!$AF$1)/(E$14-E$15),"")))))</f>
        <v/>
      </c>
      <c r="G68" s="189" t="str">
        <f>IF('Mirror for payments'!$E$14&lt;=Dates!A45,"",IF(E$14=Dates!A46,SUM($G$20:G67),IF(Languages!$B$165=1,0,IF(Languages!$B$165=2,IF(E$14&gt;=Dates!A47,(Load!$D$20-Load!$E$20-G$20)/E$14,IF(E$14=Dates!A46,SUM($G$20:G67),""))))))</f>
        <v/>
      </c>
      <c r="H68" s="189" t="str">
        <f>IF(E$14&gt;=Dates!A47,SUM(C68-F68-G68),IF(E$14=Dates!A40,Languages!$B$84,IF(E$14=Dates!A41,"_____________________",IF(E$14=Dates!A44,Languages!$B$82,IF(E$14=Dates!A43,Languages!$B$83,IF(E$14=Dates!A39,Languages!$B$87,""))))))</f>
        <v/>
      </c>
    </row>
    <row r="69" spans="1:8">
      <c r="A69" s="187" t="str">
        <f>IF(E$14&gt;=Dates!A48,Dates!A48,IF(E$14=Dates!A47,Languages!$B$136,""))</f>
        <v/>
      </c>
      <c r="B69" s="188" t="str">
        <f>IF(E$14&gt;=Dates!A48,Dates!B48,"")</f>
        <v/>
      </c>
      <c r="C69" s="189" t="str">
        <f>IF(E$14=Dates!A40,Languages!$B$86,IF(E$14=Dates!A41,Languages!$B$90,IF(E$14=Dates!A42,"_____________________",IF(E$14=Dates!A44,Languages!$B$88,IF(E$14=Dates!A45,Languages!$B$81,IF(E$14&gt;=Dates!A48,H68,""))))))</f>
        <v/>
      </c>
      <c r="D69" s="190" t="str">
        <f>IF(E$14&gt;=Dates!A48,SUM(E69+F69+G69),IF(E$14&gt;=Dates!A47,SUM(D$20:D68),""))</f>
        <v/>
      </c>
      <c r="E69" s="189" t="str">
        <f>IF(E$14&gt;=Dates!A48,(Load!$C$8/12)*C69,IF(E$14&gt;=Dates!A47,SUM(E$20:E68),""))</f>
        <v/>
      </c>
      <c r="F69" s="189" t="str">
        <f>IF(E$15&gt;=Dates!A48,Load!C$11-G69,IF(E$14&lt;=Dates!A46,"",IF(E$14&lt;=Dates!A47,SUM(F$20:F68),IF(Languages!B$146=1,Dates!S49,IF(E$14&gt;=Dates!A48,(E$8-Load!$C$11*E$15+Dates!$AF$1)/(E$14-E$15),"")))))</f>
        <v/>
      </c>
      <c r="G69" s="189" t="str">
        <f>IF('Mirror for payments'!$E$14&lt;=Dates!A46,"",IF(E$14=Dates!A47,SUM($G$20:G68),IF(Languages!$B$165=1,0,IF(Languages!$B$165=2,IF(E$14&gt;=Dates!A48,(Load!$D$20-Load!$E$20-G$20)/E$14,IF(E$14=Dates!A47,SUM($G$20:G68),""))))))</f>
        <v/>
      </c>
      <c r="H69" s="189" t="str">
        <f>IF(E$14&gt;=Dates!A48,SUM(C69-F69-G69),IF(E$14=Dates!A41,Languages!$B$84,IF(E$14=Dates!A42,"_____________________",IF(E$14=Dates!A45,Languages!$B$82,IF(E$14=Dates!A44,Languages!$B$83,IF(E$14=Dates!A40,Languages!$B$87,""))))))</f>
        <v/>
      </c>
    </row>
    <row r="70" spans="1:8">
      <c r="A70" s="187" t="str">
        <f>IF(E$14&gt;=Dates!A49,Dates!A49,IF(E$14=Dates!A48,Languages!$B$136,""))</f>
        <v/>
      </c>
      <c r="B70" s="188" t="str">
        <f>IF(E$14&gt;=Dates!A49,Dates!B49,"")</f>
        <v/>
      </c>
      <c r="C70" s="189" t="str">
        <f>IF(E$14=Dates!A41,Languages!$B$86,IF(E$14=Dates!A42,Languages!$B$90,IF(E$14=Dates!A43,"_____________________",IF(E$14=Dates!A45,Languages!$B$88,IF(E$14=Dates!A46,Languages!$B$81,IF(E$14&gt;=Dates!A49,H69,""))))))</f>
        <v/>
      </c>
      <c r="D70" s="191" t="str">
        <f>IF(E$14&gt;=Dates!A49,SUM(E70+F70+G70),IF(E$14&gt;=Dates!A48,SUM(D$20:D69),""))</f>
        <v/>
      </c>
      <c r="E70" s="189" t="str">
        <f>IF(E$14&gt;=Dates!A49,(Load!$C$8/12)*C70,IF(E$14&gt;=Dates!A48,SUM(E$20:E69),""))</f>
        <v/>
      </c>
      <c r="F70" s="189" t="str">
        <f>IF(E$15&gt;=Dates!A49,Load!C$11-G70,IF(E$14&lt;=Dates!A47,"",IF(E$14&lt;=Dates!A48,SUM(F$20:F69),IF(Languages!B$146=1,Dates!S50,IF(E$14&gt;=Dates!A49,(E$8-Load!$C$11*E$15+Dates!$AF$1)/(E$14-E$15),"")))))</f>
        <v/>
      </c>
      <c r="G70" s="189" t="str">
        <f>IF('Mirror for payments'!$E$14&lt;=Dates!A47,"",IF(E$14=Dates!A48,SUM($G$20:G69),IF(Languages!$B$165=1,0,IF(Languages!$B$165=2,IF(E$14&gt;=Dates!A49,(Load!$D$20-Load!$E$20-G$20)/E$14,IF(E$14=Dates!A48,SUM($G$20:G69),""))))))</f>
        <v/>
      </c>
      <c r="H70" s="189" t="str">
        <f>IF(E$14&gt;=Dates!A49,SUM(C70-F70-G70),IF(E$14=Dates!A42,Languages!$B$84,IF(E$14=Dates!A43,"_____________________",IF(E$14=Dates!A46,Languages!$B$82,IF(E$14=Dates!A45,Languages!$B$83,IF(E$14=Dates!A41,Languages!$B$87,""))))))</f>
        <v/>
      </c>
    </row>
    <row r="71" spans="1:8">
      <c r="A71" s="187" t="str">
        <f>IF(E$14&gt;=Dates!A50,Dates!A50,IF(E$14=Dates!A49,Languages!$B$136,""))</f>
        <v/>
      </c>
      <c r="B71" s="188" t="str">
        <f>IF(E$14&gt;=Dates!A50,Dates!B50,"")</f>
        <v/>
      </c>
      <c r="C71" s="189" t="str">
        <f>IF(E$14=Dates!A42,Languages!$B$86,IF(E$14=Dates!A43,Languages!$B$90,IF(E$14=Dates!A44,"_____________________",IF(E$14=Dates!A46,Languages!$B$88,IF(E$14=Dates!A47,Languages!$B$81,IF(E$14&gt;=Dates!A50,H70,""))))))</f>
        <v/>
      </c>
      <c r="D71" s="153" t="str">
        <f>IF(E$14&gt;=Dates!A50,SUM(E71+F71+G71),IF(E$14&gt;=Dates!A49,SUM(D$20:D70),""))</f>
        <v/>
      </c>
      <c r="E71" s="189" t="str">
        <f>IF(E$14&gt;=Dates!A50,(Load!$C$8/12)*C71,IF(E$14&gt;=Dates!A49,SUM(E$20:E70),""))</f>
        <v/>
      </c>
      <c r="F71" s="189" t="str">
        <f>IF(E$15&gt;=Dates!A50,Load!C$11-G71,IF(E$14&lt;=Dates!A48,"",IF(E$14&lt;=Dates!A49,SUM(F$20:F70),IF(Languages!B$146=1,Dates!S51,IF(E$14&gt;=Dates!A50,(E$8-Load!$C$11*E$15+Dates!$AF$1)/(E$14-E$15),"")))))</f>
        <v/>
      </c>
      <c r="G71" s="189" t="str">
        <f>IF('Mirror for payments'!$E$14&lt;=Dates!A48,"",IF(E$14=Dates!A49,SUM($G$20:G70),IF(Languages!$B$165=1,0,IF(Languages!$B$165=2,IF(E$14&gt;=Dates!A50,(Load!$D$20-Load!$E$20-G$20)/E$14,IF(E$14=Dates!A49,SUM($G$20:G70),""))))))</f>
        <v/>
      </c>
      <c r="H71" s="189" t="str">
        <f>IF(E$14&gt;=Dates!A50,SUM(C71-F71-G71),IF(E$14=Dates!A43,Languages!$B$84,IF(E$14=Dates!A44,"_____________________",IF(E$14=Dates!A47,Languages!$B$82,IF(E$14=Dates!A46,Languages!$B$83,IF(E$14=Dates!A42,Languages!$B$87,""))))))</f>
        <v/>
      </c>
    </row>
    <row r="72" spans="1:8">
      <c r="A72" s="187" t="str">
        <f>IF(E$14&gt;=Dates!A51,Dates!A51,IF(E$14=Dates!A50,Languages!$B$136,""))</f>
        <v/>
      </c>
      <c r="B72" s="188" t="str">
        <f>IF(E$14&gt;=Dates!A51,Dates!B51,"")</f>
        <v/>
      </c>
      <c r="C72" s="189" t="str">
        <f>IF(E$14=Dates!A43,Languages!$B$86,IF(E$14=Dates!A44,Languages!$B$90,IF(E$14=Dates!A45,"_____________________",IF(E$14=Dates!A47,Languages!$B$88,IF(E$14=Dates!A48,Languages!$B$81,IF(E$14&gt;=Dates!A51,H71,""))))))</f>
        <v/>
      </c>
      <c r="D72" s="153" t="str">
        <f>IF(E$14&gt;=Dates!A51,SUM(E72+F72+G72),IF(E$14&gt;=Dates!A50,SUM(D$20:D71),""))</f>
        <v/>
      </c>
      <c r="E72" s="189" t="str">
        <f>IF(E$14&gt;=Dates!A51,(Load!$C$8/12)*C72,IF(E$14&gt;=Dates!A50,SUM(E$20:E71),""))</f>
        <v/>
      </c>
      <c r="F72" s="189" t="str">
        <f>IF(E$15&gt;=Dates!A51,Load!C$11-G72,IF(E$14&lt;=Dates!A49,"",IF(E$14&lt;=Dates!A50,SUM(F$20:F71),IF(Languages!B$146=1,Dates!S52,IF(E$14&gt;=Dates!A51,(E$8-Load!$C$11*E$15+Dates!$AF$1)/(E$14-E$15),"")))))</f>
        <v/>
      </c>
      <c r="G72" s="189" t="str">
        <f>IF('Mirror for payments'!$E$14&lt;=Dates!A49,"",IF(E$14=Dates!A50,SUM($G$20:G71),IF(Languages!$B$165=1,0,IF(Languages!$B$165=2,IF(E$14&gt;=Dates!A51,(Load!$D$20-Load!$E$20-G$20)/E$14,IF(E$14=Dates!A50,SUM($G$20:G71),""))))))</f>
        <v/>
      </c>
      <c r="H72" s="189" t="str">
        <f>IF(E$14&gt;=Dates!A51,SUM(C72-F72-G72),IF(E$14=Dates!A44,Languages!$B$84,IF(E$14=Dates!A45,"_____________________",IF(E$14=Dates!A48,Languages!$B$82,IF(E$14=Dates!A47,Languages!$B$83,IF(E$14=Dates!A43,Languages!$B$87,""))))))</f>
        <v/>
      </c>
    </row>
    <row r="73" spans="1:8">
      <c r="A73" s="187" t="str">
        <f>IF(E$14&gt;=Dates!A52,Dates!A52,IF(E$14=Dates!A51,Languages!$B$136,""))</f>
        <v/>
      </c>
      <c r="B73" s="188" t="str">
        <f>IF(E$14&gt;=Dates!A52,Dates!B52,"")</f>
        <v/>
      </c>
      <c r="C73" s="189" t="str">
        <f>IF(E$14=Dates!A44,Languages!$B$86,IF(E$14=Dates!A45,Languages!$B$90,IF(E$14=Dates!A46,"_____________________",IF(E$14=Dates!A48,Languages!$B$88,IF(E$14=Dates!A49,Languages!$B$81,IF(E$14&gt;=Dates!A52,H72,""))))))</f>
        <v/>
      </c>
      <c r="D73" s="153" t="str">
        <f>IF(E$14&gt;=Dates!A52,SUM(E73+F73+G73),IF(E$14&gt;=Dates!A51,SUM(D$20:D72),""))</f>
        <v/>
      </c>
      <c r="E73" s="189" t="str">
        <f>IF(E$14&gt;=Dates!A52,(Load!$C$8/12)*C73,IF(E$14&gt;=Dates!A51,SUM(E$20:E72),""))</f>
        <v/>
      </c>
      <c r="F73" s="189" t="str">
        <f>IF(E$15&gt;=Dates!A52,Load!C$11-G73,IF(E$14&lt;=Dates!A50,"",IF(E$14&lt;=Dates!A51,SUM(F$20:F72),IF(Languages!B$146=1,Dates!S53,IF(E$14&gt;=Dates!A52,(E$8-Load!$C$11*E$15+Dates!$AF$1)/(E$14-E$15),"")))))</f>
        <v/>
      </c>
      <c r="G73" s="189" t="str">
        <f>IF('Mirror for payments'!$E$14&lt;=Dates!A50,"",IF(E$14=Dates!A51,SUM($G$20:G72),IF(Languages!$B$165=1,0,IF(Languages!$B$165=2,IF(E$14&gt;=Dates!A52,(Load!$D$20-Load!$E$20-G$20)/E$14,IF(E$14=Dates!A51,SUM($G$20:G72),""))))))</f>
        <v/>
      </c>
      <c r="H73" s="189" t="str">
        <f>IF(E$14&gt;=Dates!A52,SUM(C73-F73-G73),IF(E$14=Dates!A45,Languages!$B$84,IF(E$14=Dates!A46,"_____________________",IF(E$14=Dates!A49,Languages!$B$82,IF(E$14=Dates!A48,Languages!$B$83,IF(E$14=Dates!A44,Languages!$B$87,""))))))</f>
        <v/>
      </c>
    </row>
    <row r="74" spans="1:8">
      <c r="A74" s="187" t="str">
        <f>IF(E$14&gt;=Dates!A53,Dates!A53,IF(E$14=Dates!A52,Languages!$B$136,""))</f>
        <v/>
      </c>
      <c r="B74" s="188" t="str">
        <f>IF(E$14&gt;=Dates!A53,Dates!B53,"")</f>
        <v/>
      </c>
      <c r="C74" s="189" t="str">
        <f>IF(E$14=Dates!A45,Languages!$B$86,IF(E$14=Dates!A46,Languages!$B$90,IF(E$14=Dates!A47,"_____________________",IF(E$14=Dates!A49,Languages!$B$88,IF(E$14=Dates!A50,Languages!$B$81,IF(E$14&gt;=Dates!A53,H73,""))))))</f>
        <v/>
      </c>
      <c r="D74" s="153" t="str">
        <f>IF(E$14&gt;=Dates!A53,SUM(E74+F74+G74),IF(E$14&gt;=Dates!A52,SUM(D$20:D73),""))</f>
        <v/>
      </c>
      <c r="E74" s="189" t="str">
        <f>IF(E$14&gt;=Dates!A53,(Load!$C$8/12)*C74,IF(E$14&gt;=Dates!A52,SUM(E$20:E73),""))</f>
        <v/>
      </c>
      <c r="F74" s="189" t="str">
        <f>IF(E$15&gt;=Dates!A53,Load!C$11-G74,IF(E$14&lt;=Dates!A51,"",IF(E$14&lt;=Dates!A52,SUM(F$20:F73),IF(Languages!B$146=1,Dates!S54,IF(E$14&gt;=Dates!A53,(E$8-Load!$C$11*E$15+Dates!$AF$1)/(E$14-E$15),"")))))</f>
        <v/>
      </c>
      <c r="G74" s="189" t="str">
        <f>IF('Mirror for payments'!$E$14&lt;=Dates!A51,"",IF(E$14=Dates!A52,SUM($G$20:G73),IF(Languages!$B$165=1,0,IF(Languages!$B$165=2,IF(E$14&gt;=Dates!A53,(Load!$D$20-Load!$E$20-G$20)/E$14,IF(E$14=Dates!A52,SUM($G$20:G73),""))))))</f>
        <v/>
      </c>
      <c r="H74" s="189" t="str">
        <f>IF(E$14&gt;=Dates!A53,SUM(C74-F74-G74),IF(E$14=Dates!A46,Languages!$B$84,IF(E$14=Dates!A47,"_____________________",IF(E$14=Dates!A50,Languages!$B$82,IF(E$14=Dates!A49,Languages!$B$83,IF(E$14=Dates!A45,Languages!$B$87,""))))))</f>
        <v/>
      </c>
    </row>
    <row r="75" spans="1:8">
      <c r="A75" s="187" t="str">
        <f>IF(E$14&gt;=Dates!A54,Dates!A54,IF(E$14=Dates!A53,Languages!$B$136,""))</f>
        <v/>
      </c>
      <c r="B75" s="188" t="str">
        <f>IF(E$14&gt;=Dates!A54,Dates!B54,"")</f>
        <v/>
      </c>
      <c r="C75" s="189" t="str">
        <f>IF(E$14=Dates!A46,Languages!$B$86,IF(E$14=Dates!A47,Languages!$B$90,IF(E$14=Dates!A48,"_____________________",IF(E$14=Dates!A50,Languages!$B$88,IF(E$14=Dates!A51,Languages!$B$81,IF(E$14&gt;=Dates!A54,H74,""))))))</f>
        <v/>
      </c>
      <c r="D75" s="153" t="str">
        <f>IF(E$14&gt;=Dates!A54,SUM(E75+F75+G75),IF(E$14&gt;=Dates!A53,SUM(D$20:D74),""))</f>
        <v/>
      </c>
      <c r="E75" s="189" t="str">
        <f>IF(E$14&gt;=Dates!A54,(Load!$C$8/12)*C75,IF(E$14&gt;=Dates!A53,SUM(E$20:E74),""))</f>
        <v/>
      </c>
      <c r="F75" s="189" t="str">
        <f>IF(E$15&gt;=Dates!A54,Load!C$11-G75,IF(E$14&lt;=Dates!A52,"",IF(E$14&lt;=Dates!A53,SUM(F$20:F74),IF(Languages!B$146=1,Dates!S55,IF(E$14&gt;=Dates!A54,(E$8-Load!$C$11*E$15+Dates!$AF$1)/(E$14-E$15),"")))))</f>
        <v/>
      </c>
      <c r="G75" s="189" t="str">
        <f>IF('Mirror for payments'!$E$14&lt;=Dates!A52,"",IF(E$14=Dates!A53,SUM($G$20:G74),IF(Languages!$B$165=1,0,IF(Languages!$B$165=2,IF(E$14&gt;=Dates!A54,(Load!$D$20-Load!$E$20-G$20)/E$14,IF(E$14=Dates!A53,SUM($G$20:G74),""))))))</f>
        <v/>
      </c>
      <c r="H75" s="189" t="str">
        <f>IF(E$14&gt;=Dates!A54,SUM(C75-F75-G75),IF(E$14=Dates!A47,Languages!$B$84,IF(E$14=Dates!A48,"_____________________",IF(E$14=Dates!A51,Languages!$B$82,IF(E$14=Dates!A50,Languages!$B$83,IF(E$14=Dates!A46,Languages!$B$87,""))))))</f>
        <v/>
      </c>
    </row>
    <row r="76" spans="1:8">
      <c r="A76" s="187" t="str">
        <f>IF(E$14&gt;=Dates!A55,Dates!A55,IF(E$14=Dates!A54,Languages!$B$136,""))</f>
        <v/>
      </c>
      <c r="B76" s="188" t="str">
        <f>IF(E$14&gt;=Dates!A55,Dates!B55,"")</f>
        <v/>
      </c>
      <c r="C76" s="189" t="str">
        <f>IF(E$14=Dates!A47,Languages!$B$86,IF(E$14=Dates!A48,Languages!$B$90,IF(E$14=Dates!A49,"_____________________",IF(E$14=Dates!A51,Languages!$B$88,IF(E$14=Dates!A52,Languages!$B$81,IF(E$14&gt;=Dates!A55,H75,""))))))</f>
        <v/>
      </c>
      <c r="D76" s="153" t="str">
        <f>IF(E$14&gt;=Dates!A55,SUM(E76+F76+G76),IF(E$14&gt;=Dates!A54,SUM(D$20:D75),""))</f>
        <v/>
      </c>
      <c r="E76" s="189" t="str">
        <f>IF(E$14&gt;=Dates!A55,(Load!$C$8/12)*C76,IF(E$14&gt;=Dates!A54,SUM(E$20:E75),""))</f>
        <v/>
      </c>
      <c r="F76" s="189" t="str">
        <f>IF(E$15&gt;=Dates!A55,Load!C$11-G76,IF(E$14&lt;=Dates!A53,"",IF(E$14&lt;=Dates!A54,SUM(F$20:F75),IF(Languages!B$146=1,Dates!S56,IF(E$14&gt;=Dates!A55,(E$8-Load!$C$11*E$15+Dates!$AF$1)/(E$14-E$15),"")))))</f>
        <v/>
      </c>
      <c r="G76" s="189" t="str">
        <f>IF('Mirror for payments'!$E$14&lt;=Dates!A53,"",IF(E$14=Dates!A54,SUM($G$20:G75),IF(Languages!$B$165=1,0,IF(Languages!$B$165=2,IF(E$14&gt;=Dates!A55,(Load!$D$20-Load!$E$20-G$20)/E$14,IF(E$14=Dates!A54,SUM($G$20:G75),""))))))</f>
        <v/>
      </c>
      <c r="H76" s="189" t="str">
        <f>IF(E$14&gt;=Dates!A55,SUM(C76-F76-G76),IF(E$14=Dates!A48,Languages!$B$84,IF(E$14=Dates!A49,"_____________________",IF(E$14=Dates!A52,Languages!$B$82,IF(E$14=Dates!A51,Languages!$B$83,IF(E$14=Dates!A47,Languages!$B$87,""))))))</f>
        <v/>
      </c>
    </row>
    <row r="77" spans="1:8">
      <c r="A77" s="187" t="str">
        <f>IF(E$14&gt;=Dates!A56,Dates!A56,IF(E$14=Dates!A55,Languages!$B$136,""))</f>
        <v/>
      </c>
      <c r="B77" s="188" t="str">
        <f>IF(E$14&gt;=Dates!A56,Dates!B56,"")</f>
        <v/>
      </c>
      <c r="C77" s="189" t="str">
        <f>IF(E$14=Dates!A48,Languages!$B$86,IF(E$14=Dates!A49,Languages!$B$90,IF(E$14=Dates!A50,"_____________________",IF(E$14=Dates!A52,Languages!$B$88,IF(E$14=Dates!A53,Languages!$B$81,IF(E$14&gt;=Dates!A56,H76,""))))))</f>
        <v/>
      </c>
      <c r="D77" s="153" t="str">
        <f>IF(E$14&gt;=Dates!A56,SUM(E77+F77+G77),IF(E$14&gt;=Dates!A55,SUM(D$20:D76),""))</f>
        <v/>
      </c>
      <c r="E77" s="189" t="str">
        <f>IF(E$14&gt;=Dates!A56,(Load!$C$8/12)*C77,IF(E$14&gt;=Dates!A55,SUM(E$20:E76),""))</f>
        <v/>
      </c>
      <c r="F77" s="189" t="str">
        <f>IF(E$15&gt;=Dates!A56,Load!C$11-G77,IF(E$14&lt;=Dates!A54,"",IF(E$14&lt;=Dates!A55,SUM(F$20:F76),IF(Languages!B$146=1,Dates!S57,IF(E$14&gt;=Dates!A56,(E$8-Load!$C$11*E$15+Dates!$AF$1)/(E$14-E$15),"")))))</f>
        <v/>
      </c>
      <c r="G77" s="189" t="str">
        <f>IF('Mirror for payments'!$E$14&lt;=Dates!A54,"",IF(E$14=Dates!A55,SUM($G$20:G76),IF(Languages!$B$165=1,0,IF(Languages!$B$165=2,IF(E$14&gt;=Dates!A56,(Load!$D$20-Load!$E$20-G$20)/E$14,IF(E$14=Dates!A55,SUM($G$20:G76),""))))))</f>
        <v/>
      </c>
      <c r="H77" s="189" t="str">
        <f>IF(E$14&gt;=Dates!A56,SUM(C77-F77-G77),IF(E$14=Dates!A49,Languages!$B$84,IF(E$14=Dates!A50,"_____________________",IF(E$14=Dates!A53,Languages!$B$82,IF(E$14=Dates!A52,Languages!$B$83,IF(E$14=Dates!A48,Languages!$B$87,""))))))</f>
        <v/>
      </c>
    </row>
    <row r="78" spans="1:8">
      <c r="A78" s="187" t="str">
        <f>IF(E$14&gt;=Dates!A57,Dates!A57,IF(E$14=Dates!A56,Languages!$B$136,""))</f>
        <v/>
      </c>
      <c r="B78" s="188" t="str">
        <f>IF(E$14&gt;=Dates!A57,Dates!B57,"")</f>
        <v/>
      </c>
      <c r="C78" s="189" t="str">
        <f>IF(E$14=Dates!A49,Languages!$B$86,IF(E$14=Dates!A50,Languages!$B$90,IF(E$14=Dates!A51,"_____________________",IF(E$14=Dates!A53,Languages!$B$88,IF(E$14=Dates!A54,Languages!$B$81,IF(E$14&gt;=Dates!A57,H77,""))))))</f>
        <v/>
      </c>
      <c r="D78" s="153" t="str">
        <f>IF(E$14&gt;=Dates!A57,SUM(E78+F78+G78),IF(E$14&gt;=Dates!A56,SUM(D$20:D77),""))</f>
        <v/>
      </c>
      <c r="E78" s="189" t="str">
        <f>IF(E$14&gt;=Dates!A57,(Load!$C$8/12)*C78,IF(E$14&gt;=Dates!A56,SUM(E$20:E77),""))</f>
        <v/>
      </c>
      <c r="F78" s="189" t="str">
        <f>IF(E$15&gt;=Dates!A57,Load!C$11-G78,IF(E$14&lt;=Dates!A55,"",IF(E$14&lt;=Dates!A56,SUM(F$20:F77),IF(Languages!B$146=1,Dates!S58,IF(E$14&gt;=Dates!A57,(E$8-Load!$C$11*E$15+Dates!$AF$1)/(E$14-E$15),"")))))</f>
        <v/>
      </c>
      <c r="G78" s="189" t="str">
        <f>IF('Mirror for payments'!$E$14&lt;=Dates!A55,"",IF(E$14=Dates!A56,SUM($G$20:G77),IF(Languages!$B$165=1,0,IF(Languages!$B$165=2,IF(E$14&gt;=Dates!A57,(Load!$D$20-Load!$E$20-G$20)/E$14,IF(E$14=Dates!A56,SUM($G$20:G77),""))))))</f>
        <v/>
      </c>
      <c r="H78" s="189" t="str">
        <f>IF(E$14&gt;=Dates!A57,SUM(C78-F78-G78),IF(E$14=Dates!A50,Languages!$B$84,IF(E$14=Dates!A51,"_____________________",IF(E$14=Dates!A54,Languages!$B$82,IF(E$14=Dates!A53,Languages!$B$83,IF(E$14=Dates!A49,Languages!$B$87,""))))))</f>
        <v/>
      </c>
    </row>
    <row r="79" spans="1:8">
      <c r="A79" s="187" t="str">
        <f>IF(E$14&gt;=Dates!A58,Dates!A58,IF(E$14=Dates!A57,Languages!$B$136,""))</f>
        <v/>
      </c>
      <c r="B79" s="188" t="str">
        <f>IF(E$14&gt;=Dates!A58,Dates!B58,"")</f>
        <v/>
      </c>
      <c r="C79" s="189" t="str">
        <f>IF(E$14=Dates!A50,Languages!$B$86,IF(E$14=Dates!A51,Languages!$B$90,IF(E$14=Dates!A52,"_____________________",IF(E$14=Dates!A54,Languages!$B$88,IF(E$14=Dates!A55,Languages!$B$81,IF(E$14&gt;=Dates!A58,H78,""))))))</f>
        <v/>
      </c>
      <c r="D79" s="153" t="str">
        <f>IF(E$14&gt;=Dates!A58,SUM(E79+F79+G79),IF(E$14&gt;=Dates!A57,SUM(D$20:D78),""))</f>
        <v/>
      </c>
      <c r="E79" s="189" t="str">
        <f>IF(E$14&gt;=Dates!A58,(Load!$C$8/12)*C79,IF(E$14&gt;=Dates!A57,SUM(E$20:E78),""))</f>
        <v/>
      </c>
      <c r="F79" s="189" t="str">
        <f>IF(E$15&gt;=Dates!A58,Load!C$11-G79,IF(E$14&lt;=Dates!A56,"",IF(E$14&lt;=Dates!A57,SUM(F$20:F78),IF(Languages!B$146=1,Dates!S59,IF(E$14&gt;=Dates!A58,(E$8-Load!$C$11*E$15+Dates!$AF$1)/(E$14-E$15),"")))))</f>
        <v/>
      </c>
      <c r="G79" s="189" t="str">
        <f>IF('Mirror for payments'!$E$14&lt;=Dates!A56,"",IF(E$14=Dates!A57,SUM($G$20:G78),IF(Languages!$B$165=1,0,IF(Languages!$B$165=2,IF(E$14&gt;=Dates!A58,(Load!$D$20-Load!$E$20-G$20)/E$14,IF(E$14=Dates!A57,SUM($G$20:G78),""))))))</f>
        <v/>
      </c>
      <c r="H79" s="189" t="str">
        <f>IF(E$14&gt;=Dates!A58,SUM(C79-F79-G79),IF(E$14=Dates!A51,Languages!$B$84,IF(E$14=Dates!A52,"_____________________",IF(E$14=Dates!A55,Languages!$B$82,IF(E$14=Dates!A54,Languages!$B$83,IF(E$14=Dates!A50,Languages!$B$87,""))))))</f>
        <v/>
      </c>
    </row>
    <row r="80" spans="1:8">
      <c r="A80" s="187" t="str">
        <f>IF(E$14&gt;=Dates!A59,Dates!A59,IF(E$14=Dates!A58,Languages!$B$136,""))</f>
        <v/>
      </c>
      <c r="B80" s="188" t="str">
        <f>IF(E$14&gt;=Dates!A59,Dates!B59,"")</f>
        <v/>
      </c>
      <c r="C80" s="189" t="str">
        <f>IF(E$14=Dates!A51,Languages!$B$86,IF(E$14=Dates!A52,Languages!$B$90,IF(E$14=Dates!A53,"_____________________",IF(E$14=Dates!A55,Languages!$B$88,IF(E$14=Dates!A56,Languages!$B$81,IF(E$14&gt;=Dates!A59,H79,""))))))</f>
        <v/>
      </c>
      <c r="D80" s="153" t="str">
        <f>IF(E$14&gt;=Dates!A59,SUM(E80+F80+G80),IF(E$14&gt;=Dates!A58,SUM(D$20:D79),""))</f>
        <v/>
      </c>
      <c r="E80" s="189" t="str">
        <f>IF(E$14&gt;=Dates!A59,(Load!$C$8/12)*C80,IF(E$14&gt;=Dates!A58,SUM(E$20:E79),""))</f>
        <v/>
      </c>
      <c r="F80" s="189" t="str">
        <f>IF(E$15&gt;=Dates!A59,Load!C$11-G80,IF(E$14&lt;=Dates!A57,"",IF(E$14&lt;=Dates!A58,SUM(F$20:F79),IF(Languages!B$146=1,Dates!S60,IF(E$14&gt;=Dates!A59,(E$8-Load!$C$11*E$15+Dates!$AF$1)/(E$14-E$15),"")))))</f>
        <v/>
      </c>
      <c r="G80" s="189" t="str">
        <f>IF('Mirror for payments'!$E$14&lt;=Dates!A57,"",IF(E$14=Dates!A58,SUM($G$20:G79),IF(Languages!$B$165=1,0,IF(Languages!$B$165=2,IF(E$14&gt;=Dates!A59,(Load!$D$20-Load!$E$20-G$20)/E$14,IF(E$14=Dates!A58,SUM($G$20:G79),""))))))</f>
        <v/>
      </c>
      <c r="H80" s="189" t="str">
        <f>IF(E$14&gt;=Dates!A59,SUM(C80-F80-G80),IF(E$14=Dates!A52,Languages!$B$84,IF(E$14=Dates!A53,"_____________________",IF(E$14=Dates!A56,Languages!$B$82,IF(E$14=Dates!A55,Languages!$B$83,IF(E$14=Dates!A51,Languages!$B$87,""))))))</f>
        <v/>
      </c>
    </row>
    <row r="81" spans="1:8">
      <c r="A81" s="187" t="str">
        <f>IF(E$14&gt;=Dates!A60,Dates!A60,IF(E$14=Dates!A59,Languages!$B$136,""))</f>
        <v/>
      </c>
      <c r="B81" s="188" t="str">
        <f>IF(E$14&gt;=Dates!A60,Dates!B60,"")</f>
        <v/>
      </c>
      <c r="C81" s="189" t="str">
        <f>IF(E$14=Dates!A52,Languages!$B$86,IF(E$14=Dates!A53,Languages!$B$90,IF(E$14=Dates!A54,"_____________________",IF(E$14=Dates!A56,Languages!$B$88,IF(E$14=Dates!A57,Languages!$B$81,IF(E$14&gt;=Dates!A60,H80,""))))))</f>
        <v/>
      </c>
      <c r="D81" s="153" t="str">
        <f>IF(E$14&gt;=Dates!A60,SUM(E81+F81+G81),IF(E$14&gt;=Dates!A59,SUM(D$20:D80),""))</f>
        <v/>
      </c>
      <c r="E81" s="189" t="str">
        <f>IF(E$14&gt;=Dates!A60,(Load!$C$8/12)*C81,IF(E$14&gt;=Dates!A59,SUM(E$20:E80),""))</f>
        <v/>
      </c>
      <c r="F81" s="189" t="str">
        <f>IF(E$15&gt;=Dates!A60,Load!C$11-G81,IF(E$14&lt;=Dates!A58,"",IF(E$14&lt;=Dates!A59,SUM(F$20:F80),IF(Languages!B$146=1,Dates!S61,IF(E$14&gt;=Dates!A60,(E$8-Load!$C$11*E$15+Dates!$AF$1)/(E$14-E$15),"")))))</f>
        <v/>
      </c>
      <c r="G81" s="189" t="str">
        <f>IF('Mirror for payments'!$E$14&lt;=Dates!A58,"",IF(E$14=Dates!A59,SUM($G$20:G80),IF(Languages!$B$165=1,0,IF(Languages!$B$165=2,IF(E$14&gt;=Dates!A60,(Load!$D$20-Load!$E$20-G$20)/E$14,IF(E$14=Dates!A59,SUM($G$20:G80),""))))))</f>
        <v/>
      </c>
      <c r="H81" s="189" t="str">
        <f>IF(E$14&gt;=Dates!A60,SUM(C81-F81-G81),IF(E$14=Dates!A53,Languages!$B$84,IF(E$14=Dates!A54,"_____________________",IF(E$14=Dates!A57,Languages!$B$82,IF(E$14=Dates!A56,Languages!$B$83,IF(E$14=Dates!A52,Languages!$B$87,""))))))</f>
        <v/>
      </c>
    </row>
    <row r="82" spans="1:8">
      <c r="A82" s="187" t="str">
        <f>IF(E$14&gt;=Dates!A61,Dates!A61,IF(E$14=Dates!A60,Languages!$B$136,""))</f>
        <v/>
      </c>
      <c r="B82" s="188"/>
      <c r="C82" s="189" t="str">
        <f>IF(E$14=Dates!A53,Languages!$B$86,IF(E$14=Dates!A54,Languages!$B$90,IF(E$14=Dates!A55,"_____________________",IF(E$14=Dates!A57,Languages!$B$88,IF(E$14=Dates!A58,Languages!$B$81,IF(E$14&gt;=Dates!A61,H81,""))))))</f>
        <v/>
      </c>
      <c r="D82" s="153" t="str">
        <f>IF(E$14&gt;=Dates!A61,SUM(E82+F82+G82),IF(E$14&gt;=Dates!A60,SUM(D$20:D81),""))</f>
        <v/>
      </c>
      <c r="E82" s="189" t="str">
        <f>IF(E$14&gt;=Dates!A61,(Load!$C$8/12)*C82,IF(E$14&gt;=Dates!A60,SUM(E$20:E81),""))</f>
        <v/>
      </c>
      <c r="F82" s="189" t="str">
        <f>IF(E$15&gt;=Dates!A61,Load!C$11-G82,IF(E$14&lt;=Dates!A59,"",IF(E$14&lt;=Dates!A60,SUM(F$20:F81),IF(Languages!B$146=1,Dates!S62,IF(E$14&gt;=Dates!A61,(E$8-Load!$C$11*E$15+Dates!$AF$1)/(E$14-E$15),"")))))</f>
        <v/>
      </c>
      <c r="G82" s="189" t="str">
        <f>IF('Mirror for payments'!$E$14&lt;=Dates!A59,"",IF(E$14=Dates!A60,SUM($G$20:G81),IF(Languages!$B$165=1,0,IF(Languages!$B$165=2,IF(E$14&gt;=Dates!A61,(Load!$D$20-Load!$E$20-G$20)/E$14,IF(E$14=Dates!A60,SUM($G$20:G81),""))))))</f>
        <v/>
      </c>
      <c r="H82" s="189" t="str">
        <f>IF(E$14&gt;=Dates!A61,SUM(C82-F82-G82),IF(E$14=Dates!A54,Languages!$B$84,IF(E$14=Dates!A55,"_____________________",IF(E$14=Dates!A58,Languages!$B$82,IF(E$14=Dates!A57,Languages!$B$83,IF(E$14=Dates!A53,Languages!$B$87,""))))))</f>
        <v/>
      </c>
    </row>
    <row r="83" spans="1:8">
      <c r="A83" s="187"/>
      <c r="B83" s="188"/>
      <c r="C83" s="189" t="str">
        <f>IF(E$14=Dates!A54,Languages!$B$86,IF(E$14=Dates!A55,Languages!$B$90,IF(E$14=Dates!A56,"_____________________",IF(E$14=Dates!A58,Languages!$B$88,IF(E$14=Dates!A59,Languages!$B$81,IF(E$14&gt;=Dates!A62,H82,""))))))</f>
        <v/>
      </c>
      <c r="D83" s="153" t="str">
        <f>IF(E$14&gt;=Dates!A62,SUM(E83+F83+G83),IF(E$14&gt;=Dates!A61,SUM(D$20:D82),""))</f>
        <v/>
      </c>
      <c r="E83" s="192" t="str">
        <f>IF(E$14&gt;=Dates!A62,(Load!$C$8/12)*C83,IF(E$14&gt;=Dates!A61,SUM(E$20:E82),""))</f>
        <v/>
      </c>
      <c r="F83" s="189" t="str">
        <f>IF(E$15&gt;=Dates!A62,Load!C$11-G83,IF(E$14&lt;=Dates!A60,"",IF(E$14&lt;=Dates!A61,SUM(F$20:F82),IF(Languages!B$146=1,Dates!S63,IF(E$14&gt;=Dates!A62,(E$8-Load!$C$11*E$15+Dates!$AF$1)/(E$14-E$15),"")))))</f>
        <v/>
      </c>
      <c r="G83" s="189" t="str">
        <f>IF('Mirror for payments'!$E$14&lt;=Dates!A60,"",IF(E$14=Dates!A61,SUM($G$20:G82),IF(Languages!$B$165=1,0,IF(Languages!$B$165=2,IF(E$14&gt;=Dates!A62,(Load!$D$20-Load!$E$20-G$20)/E$14,IF(E$14=Dates!A61,SUM($G$20:G82),""))))))</f>
        <v/>
      </c>
      <c r="H83" s="189" t="str">
        <f>IF(E$14&gt;=Dates!A62,SUM(C83-F83-G83),IF(E$14=Dates!A55,Languages!$B$84,IF(E$14=Dates!A56,"_____________________",IF(E$14=Dates!A59,Languages!$B$82,IF(E$14=Dates!A58,Languages!$B$83,IF(E$14=Dates!A54,Languages!$B$87,""))))))</f>
        <v/>
      </c>
    </row>
    <row r="84" spans="1:8">
      <c r="A84" s="187"/>
      <c r="B84" s="188"/>
      <c r="C84" s="189" t="str">
        <f>IF(E$14=Dates!A55,Languages!$B$86,IF(E$14=Dates!A56,Languages!$B$90,IF(E$14=Dates!A57,"_____________________",IF(E$14=Dates!A59,Languages!$B$88,IF(E$14=Dates!A60,Languages!$B$81,IF(E$14&gt;=Dates!A63,H83,""))))))</f>
        <v/>
      </c>
      <c r="D84" s="153"/>
      <c r="E84" s="187"/>
      <c r="F84" s="189" t="str">
        <f>IF(E$15&gt;=Dates!A63,Load!C$11-G84,IF(E$14&lt;=Dates!A61,"",IF(E$14&lt;=Dates!A62,SUM(F$20:F83),IF(Languages!B$146=1,Dates!S64,IF(E$14&gt;=Dates!A63,(E$8-Load!$C$11*E$15+Dates!$AF$1)/(E$14-E$15),"")))))</f>
        <v/>
      </c>
      <c r="G84" s="189" t="str">
        <f>IF('Mirror for payments'!$E$14&lt;=Dates!A61,"",IF(E$14=Dates!A62,SUM($G$20:G83),IF(Languages!$B$165=1,0,IF(Languages!$B$165=2,IF(E$14&gt;=Dates!A63,(Load!$D$20-Load!$E$20-G$20)/E$14,IF(E$14=Dates!A62,SUM($G$20:G83),""))))))</f>
        <v/>
      </c>
      <c r="H84" s="189" t="str">
        <f>IF(E$14&gt;=Dates!A63,SUM(C84-F84-G84),IF(E$14=Dates!A56,Languages!$B$84,IF(E$14=Dates!A57,"_____________________",IF(E$14=Dates!A60,Languages!$B$82,IF(E$14=Dates!A59,Languages!$B$83,IF(E$14=Dates!A55,Languages!$B$87,""))))))</f>
        <v/>
      </c>
    </row>
    <row r="85" spans="1:8">
      <c r="A85" s="187"/>
      <c r="B85" s="187"/>
      <c r="C85" s="189" t="str">
        <f>IF(E$14=Dates!A56,Languages!$B$86,IF(E$14=Dates!A57,Languages!$B$90,IF(E$14=Dates!A58,"_____________________",IF(E$14=Dates!A60,Languages!$B$88,IF(E$14=Dates!A61,Languages!$B$81,IF(E$14&gt;=Dates!A64,H84,""))))))</f>
        <v/>
      </c>
      <c r="D85" s="187"/>
      <c r="E85" s="187"/>
      <c r="F85" s="189" t="str">
        <f>IF(E$15&gt;=Dates!A64,Load!C$11-G85,IF(E$14&lt;=Dates!A62,"",IF(E$14&lt;=Dates!A63,SUM(F$20:F84),IF(Languages!B$146=1,Dates!S65,IF(E$14&gt;=Dates!A64,(E$8-Load!$C$11*E$15+Dates!$AF$1)/(E$14-E$15),"")))))</f>
        <v/>
      </c>
      <c r="G85" s="189" t="str">
        <f>IF('Mirror for payments'!$E$14&lt;=Dates!A62,"",IF(E$14=Dates!A63,SUM($G$20:G84),IF(Languages!$B$165=1,0,IF(Languages!$B$165=2,IF(E$14&gt;=Dates!A64,(Load!$D$20-Load!$E$20-G$20)/E$14,IF(E$14=Dates!A63,SUM($G$20:G84),""))))))</f>
        <v/>
      </c>
      <c r="H85" s="189" t="str">
        <f>IF(E$14&gt;=Dates!A64,SUM(C85-F85-G85),IF(E$14=Dates!A57,Languages!$B$84,IF(E$14=Dates!A58,"_____________________",IF(E$14=Dates!A61,Languages!$B$82,IF(E$14=Dates!A60,Languages!$B$83,IF(E$14=Dates!A56,Languages!$B$87,""))))))</f>
        <v/>
      </c>
    </row>
    <row r="86" spans="1:8">
      <c r="A86" s="187"/>
      <c r="B86" s="187"/>
      <c r="C86" s="189" t="str">
        <f>IF(E$14=Dates!A57,Languages!$B$86,IF(E$14=Dates!A58,Languages!$B$90,IF(E$14=Dates!A59,"_____________________",IF(E$14=Dates!A61,Languages!$B$88,IF(E$14=Dates!A62,Languages!$B$81,IF(E$14&gt;=Dates!A65,H85,""))))))</f>
        <v/>
      </c>
      <c r="D86" s="187"/>
      <c r="E86" s="187"/>
      <c r="F86" s="187"/>
      <c r="G86" s="189" t="str">
        <f>IF('Mirror for payments'!$E$14&lt;=Dates!A63,"",IF(E$14=Dates!A64,SUM($G$20:G85),IF(Languages!$B$165=1,0,IF(Languages!$B$165=2,IF(E$14&gt;=Dates!A65,(Load!$D$20-Load!$E$20-G$20)/E$14,IF(E$14=Dates!A64,SUM($G$20:G85),""))))))</f>
        <v/>
      </c>
      <c r="H86" s="189" t="str">
        <f>IF(E$14&gt;=Dates!A65,SUM(C86-F86-G86),IF(E$14=Dates!A58,Languages!$B$84,IF(E$14=Dates!A59,"_____________________",IF(E$14=Dates!A62,Languages!$B$82,IF(E$14=Dates!A61,Languages!$B$83,IF(E$14=Dates!A57,Languages!$B$87,""))))))</f>
        <v/>
      </c>
    </row>
    <row r="87" spans="1:8">
      <c r="A87" s="187"/>
      <c r="B87" s="187"/>
      <c r="C87" s="189" t="str">
        <f>IF(E$14=Dates!A58,Languages!$B$86,IF(E$14=Dates!A59,Languages!$B$90,IF(E$14=Dates!A60,"_____________________",IF(E$14=Dates!A62,Languages!$B$88,IF(E$14=Dates!A63,Languages!$B$81,IF(E$14&gt;=Dates!A66,H86,""))))))</f>
        <v/>
      </c>
      <c r="D87" s="187"/>
      <c r="E87" s="187"/>
      <c r="F87" s="187"/>
      <c r="G87" s="189" t="str">
        <f>IF('Mirror for payments'!$E$14&lt;=Dates!A64,"",IF(E$14=Dates!A65,SUM($G$20:G86),IF(Languages!$B$165=1,0,IF(Languages!$B$165=2,IF(E$14&gt;=Dates!A66,(Load!$D$20-Load!$E$20-G$20)/E$14,IF(E$14=Dates!A65,SUM($G$20:G86),""))))))</f>
        <v/>
      </c>
      <c r="H87" s="189" t="str">
        <f>IF(E$14&gt;=Dates!A66,SUM(C87-F87-G87),IF(E$14=Dates!A59,Languages!$B$84,IF(E$14=Dates!A60,"_____________________",IF(E$14=Dates!A63,Languages!$B$82,IF(E$14=Dates!A62,Languages!$B$83,IF(E$14=Dates!A58,Languages!$B$87,""))))))</f>
        <v/>
      </c>
    </row>
    <row r="88" spans="1:8">
      <c r="A88" s="187"/>
      <c r="B88" s="187"/>
      <c r="C88" s="189" t="str">
        <f>IF(E$14=Dates!A59,Languages!$B$86,IF(E$14=Dates!A60,Languages!$B$90,IF(E$14=Dates!A61,"_____________________",IF(E$14=Dates!A63,Languages!$B$88,IF(E$14=Dates!A64,Languages!$B$81,IF(E$14&gt;=Dates!A67,H87,""))))))</f>
        <v/>
      </c>
      <c r="D88" s="187"/>
      <c r="E88" s="187"/>
      <c r="F88" s="187"/>
      <c r="G88" s="189" t="str">
        <f>IF('Mirror for payments'!$E$14&lt;=Dates!A65,"",IF(E$14=Dates!A66,SUM($G$20:G87),IF(Languages!$B$165=1,0,IF(Languages!$B$165=2,IF(E$14&gt;=Dates!A67,(Load!$D$20-Load!$E$20-G$20)/E$14,IF(E$14=Dates!A66,SUM($G$20:G87),""))))))</f>
        <v/>
      </c>
      <c r="H88" s="189" t="str">
        <f>IF(E$14&gt;=Dates!A67,SUM(C88-F88-G88),IF(E$14=Dates!A60,Languages!$B$84,IF(E$14=Dates!A61,"_____________________",IF(E$14=Dates!A64,Languages!$B$82,IF(E$14=Dates!A63,Languages!$B$83,IF(E$14=Dates!A59,Languages!$B$87,""))))))</f>
        <v/>
      </c>
    </row>
    <row r="89" spans="1:8">
      <c r="A89" s="187"/>
      <c r="B89" s="187"/>
      <c r="C89" s="189" t="str">
        <f>IF(E$14=Dates!A60,Languages!$B$86,IF(E$14=Dates!A61,Languages!$B$90,IF(E$14=Dates!A62,"_____________________",IF(E$14=Dates!A64,Languages!$B$88,IF(E$14=Dates!A65,Languages!$B$81,IF(E$14&gt;=Dates!A68,H88,""))))))</f>
        <v/>
      </c>
      <c r="D89" s="187"/>
      <c r="E89" s="187"/>
      <c r="F89" s="187"/>
      <c r="G89" s="189" t="str">
        <f>IF('Mirror for payments'!$E$14&lt;=Dates!A66,"",IF(E$14=Dates!A67,SUM($G$20:G88),IF(Languages!$B$165=1,0,IF(Languages!$B$165=2,IF(E$14&gt;=Dates!A68,(Load!$D$20-Load!$E$20-G$20)/E$14,IF(E$14=Dates!A67,SUM($G$20:G88),""))))))</f>
        <v/>
      </c>
      <c r="H89" s="189" t="str">
        <f>IF(E$14&gt;=Dates!A68,SUM(C89-F89-G89),IF(E$14=Dates!A61,Languages!$B$84,IF(E$14=Dates!A62,"_____________________",IF(E$14=Dates!A65,Languages!$B$82,IF(E$14=Dates!A64,Languages!$B$83,IF(E$14=Dates!A60,Languages!$B$87,""))))))</f>
        <v/>
      </c>
    </row>
    <row r="90" spans="1:8">
      <c r="A90" s="187"/>
      <c r="B90" s="187"/>
      <c r="C90" s="189"/>
      <c r="D90" s="187"/>
      <c r="E90" s="187"/>
      <c r="F90" s="187"/>
      <c r="G90" s="189" t="str">
        <f>IF('Mirror for payments'!$E$14&lt;=Dates!A67,"",IF(E$14=Dates!A68,SUM($G$20:G89),IF(Languages!$B$165=1,0,IF(Languages!$B$165=2,IF(E$14&gt;=Dates!A69,(Load!$D$20-Load!$E$20-G$20)/E$14,IF(E$14=Dates!A68,SUM($G$20:G89),""))))))</f>
        <v/>
      </c>
      <c r="H90" s="189" t="str">
        <f>IF(E$14&gt;=Dates!A69,SUM(C90-F90-G90),IF(E$14=Dates!A62,Languages!$B$84,IF(E$14=Dates!A63,"_____________________",IF(E$14=Dates!A66,Languages!$B$82,IF(E$14=Dates!A65,Languages!$B$83,IF(E$14=Dates!A61,Languages!$B$87,""))))))</f>
        <v/>
      </c>
    </row>
    <row r="91" spans="1:8">
      <c r="A91" s="187"/>
      <c r="B91" s="187"/>
      <c r="C91" s="189"/>
      <c r="D91" s="187"/>
      <c r="E91" s="187"/>
      <c r="F91" s="187"/>
      <c r="G91" s="189" t="str">
        <f>IF('Mirror for payments'!$E$14&lt;=Dates!A68,"",IF(E$14=Dates!A69,SUM($G$20:G90),IF(Languages!$B$165=1,0,IF(Languages!$B$165=2,IF(E$14&gt;=Dates!A70,(Load!$D$20-Load!$E$20-G$20)/E$14,IF(E$14=Dates!A69,SUM($G$20:G90),""))))))</f>
        <v/>
      </c>
      <c r="H91" s="189" t="str">
        <f>IF(E$14&gt;=Dates!A70,SUM(C91-F91-G91),IF(E$14=Dates!A63,Languages!$B$84,IF(E$14=Dates!A64,"_____________________",IF(E$14=Dates!A67,Languages!$B$82,IF(E$14=Dates!A66,Languages!$B$83,IF(E$14=Dates!A62,Languages!$B$87,""))))))</f>
        <v/>
      </c>
    </row>
    <row r="92" spans="1:8">
      <c r="A92" s="187"/>
      <c r="B92" s="187"/>
      <c r="C92" s="189"/>
      <c r="D92" s="187"/>
      <c r="E92" s="187"/>
      <c r="F92" s="187"/>
      <c r="G92" s="189" t="str">
        <f>IF('Mirror for payments'!$E$14&lt;=Dates!A69,"",IF(E$14=Dates!A70,SUM($G$20:G91),IF(Languages!$B$165=1,0,IF(Languages!$B$165=2,IF(E$14&gt;=Dates!A71,(Load!$D$20-Load!$E$20-G$20)/E$14,IF(E$14=Dates!A70,SUM($G$20:G91),""))))))</f>
        <v/>
      </c>
      <c r="H92" s="187"/>
    </row>
    <row r="93" spans="1:8">
      <c r="A93" s="187"/>
      <c r="B93" s="187"/>
      <c r="C93" s="189"/>
      <c r="D93" s="187"/>
      <c r="E93" s="187"/>
      <c r="F93" s="187"/>
      <c r="G93" s="189" t="str">
        <f>IF('Mirror for payments'!$E$14&lt;=Dates!A70,"",IF(E$14=Dates!A71,SUM($G$20:G92),IF(Languages!$B$165=1,0,IF(Languages!$B$165=2,IF(E$14&gt;=Dates!A72,(Load!$D$20-Load!$E$20-G$20)/E$14,IF(E$14=Dates!A71,SUM($G$20:G92),""))))))</f>
        <v/>
      </c>
      <c r="H93" s="187"/>
    </row>
    <row r="94" spans="1:8">
      <c r="A94" s="187"/>
      <c r="B94" s="187"/>
      <c r="C94" s="189"/>
      <c r="D94" s="187"/>
      <c r="E94" s="187"/>
      <c r="F94" s="187"/>
      <c r="G94" s="189" t="str">
        <f>IF('Mirror for payments'!$E$14&lt;=Dates!A71,"",IF(E$14=Dates!A72,SUM($G$20:G93),IF(Languages!$B$165=1,0,IF(Languages!$B$165=2,IF(E$14&gt;=Dates!A73,(Load!$D$20-Load!$E$20-G$20)/E$14,IF(E$14=Dates!A72,SUM($G$20:G93),""))))))</f>
        <v/>
      </c>
      <c r="H94" s="187"/>
    </row>
    <row r="95" spans="1:8">
      <c r="A95" s="187"/>
      <c r="B95" s="187"/>
      <c r="C95" s="189"/>
      <c r="D95" s="187"/>
      <c r="E95" s="187"/>
      <c r="F95" s="187"/>
      <c r="G95" s="187"/>
      <c r="H95" s="187"/>
    </row>
    <row r="96" spans="1:8">
      <c r="A96" s="187"/>
      <c r="B96" s="187"/>
      <c r="C96" s="189"/>
      <c r="D96" s="187"/>
      <c r="E96" s="187"/>
      <c r="F96" s="187"/>
      <c r="G96" s="187"/>
      <c r="H96" s="187"/>
    </row>
    <row r="97" spans="1:8">
      <c r="A97" s="187"/>
      <c r="B97" s="187"/>
      <c r="C97" s="187"/>
      <c r="D97" s="187"/>
      <c r="E97" s="187"/>
      <c r="F97" s="187"/>
      <c r="G97" s="187"/>
      <c r="H97" s="187"/>
    </row>
    <row r="98" spans="1:8">
      <c r="A98" s="187"/>
      <c r="B98" s="187"/>
      <c r="C98" s="187"/>
      <c r="D98" s="187"/>
      <c r="E98" s="187"/>
      <c r="F98" s="187"/>
      <c r="G98" s="187"/>
      <c r="H98" s="187"/>
    </row>
    <row r="99" spans="1:8">
      <c r="A99" s="187"/>
      <c r="B99" s="187"/>
      <c r="C99" s="187"/>
      <c r="D99" s="187"/>
      <c r="E99" s="187"/>
      <c r="F99" s="187"/>
      <c r="G99" s="187"/>
      <c r="H99" s="187"/>
    </row>
    <row r="100" spans="1:8">
      <c r="A100" s="187"/>
      <c r="B100" s="187"/>
      <c r="C100" s="187"/>
      <c r="D100" s="187"/>
      <c r="E100" s="187"/>
      <c r="F100" s="187"/>
      <c r="G100" s="187"/>
      <c r="H100" s="187"/>
    </row>
    <row r="101" spans="1:8">
      <c r="A101" s="187"/>
      <c r="B101" s="187"/>
      <c r="C101" s="187"/>
      <c r="D101" s="187"/>
      <c r="E101" s="187"/>
      <c r="F101" s="187"/>
      <c r="G101" s="187"/>
      <c r="H101" s="187"/>
    </row>
    <row r="102" spans="1:8">
      <c r="A102" s="187"/>
      <c r="B102" s="187"/>
      <c r="C102" s="187"/>
      <c r="D102" s="187"/>
      <c r="E102" s="187"/>
      <c r="F102" s="187"/>
      <c r="G102" s="187"/>
      <c r="H102" s="187"/>
    </row>
    <row r="103" spans="1:8">
      <c r="A103" s="187"/>
      <c r="B103" s="187"/>
      <c r="C103" s="187"/>
      <c r="D103" s="187"/>
      <c r="E103" s="187"/>
      <c r="F103" s="187"/>
      <c r="G103" s="187"/>
      <c r="H103" s="187"/>
    </row>
    <row r="104" spans="1:8">
      <c r="A104" s="187"/>
      <c r="B104" s="187"/>
      <c r="C104" s="187"/>
      <c r="D104" s="187"/>
      <c r="E104" s="187"/>
      <c r="F104" s="187"/>
      <c r="G104" s="187"/>
      <c r="H104" s="187"/>
    </row>
    <row r="105" spans="1:8">
      <c r="A105" s="187"/>
      <c r="B105" s="187"/>
      <c r="C105" s="187"/>
      <c r="D105" s="187"/>
      <c r="E105" s="187"/>
      <c r="F105" s="187"/>
      <c r="G105" s="187"/>
      <c r="H105" s="187"/>
    </row>
    <row r="106" spans="1:8">
      <c r="A106" s="187"/>
      <c r="B106" s="187"/>
      <c r="C106" s="187"/>
      <c r="D106" s="187"/>
      <c r="E106" s="187"/>
      <c r="F106" s="187"/>
      <c r="G106" s="187"/>
      <c r="H106" s="187"/>
    </row>
    <row r="107" spans="1:8">
      <c r="A107" s="187"/>
      <c r="B107" s="187"/>
      <c r="C107" s="187"/>
      <c r="D107" s="187"/>
      <c r="E107" s="187"/>
      <c r="F107" s="187"/>
      <c r="G107" s="187"/>
      <c r="H107" s="187"/>
    </row>
    <row r="108" spans="1:8">
      <c r="A108" s="187"/>
      <c r="B108" s="187"/>
      <c r="C108" s="187"/>
      <c r="D108" s="187"/>
      <c r="E108" s="187"/>
      <c r="F108" s="187"/>
      <c r="G108" s="187"/>
      <c r="H108" s="187"/>
    </row>
    <row r="109" spans="1:8">
      <c r="A109" s="187"/>
      <c r="B109" s="187"/>
      <c r="C109" s="187"/>
      <c r="D109" s="187"/>
      <c r="E109" s="187"/>
      <c r="F109" s="187"/>
      <c r="G109" s="187"/>
      <c r="H109" s="187"/>
    </row>
    <row r="110" spans="1:8">
      <c r="A110" s="187"/>
      <c r="B110" s="187"/>
      <c r="C110" s="187"/>
      <c r="D110" s="187"/>
      <c r="E110" s="187"/>
      <c r="F110" s="187"/>
      <c r="G110" s="187"/>
      <c r="H110" s="187"/>
    </row>
    <row r="111" spans="1:8">
      <c r="A111" s="187"/>
      <c r="B111" s="187"/>
      <c r="C111" s="187"/>
      <c r="D111" s="187"/>
      <c r="E111" s="187"/>
      <c r="F111" s="187"/>
      <c r="G111" s="187"/>
      <c r="H111" s="187"/>
    </row>
    <row r="112" spans="1:8">
      <c r="A112" s="187"/>
      <c r="B112" s="187"/>
      <c r="C112" s="187"/>
      <c r="D112" s="187"/>
      <c r="E112" s="187"/>
      <c r="F112" s="187"/>
      <c r="G112" s="187"/>
      <c r="H112" s="187"/>
    </row>
    <row r="113" spans="1:8">
      <c r="A113" s="187"/>
      <c r="B113" s="187"/>
      <c r="C113" s="187"/>
      <c r="D113" s="187"/>
      <c r="E113" s="187"/>
      <c r="F113" s="187"/>
      <c r="G113" s="187"/>
      <c r="H113" s="187"/>
    </row>
    <row r="114" spans="1:8">
      <c r="A114" s="187"/>
      <c r="B114" s="187"/>
      <c r="C114" s="187"/>
      <c r="D114" s="187"/>
      <c r="E114" s="187"/>
      <c r="F114" s="187"/>
      <c r="G114" s="187"/>
      <c r="H114" s="187"/>
    </row>
    <row r="115" spans="1:8">
      <c r="A115" s="187"/>
      <c r="B115" s="187"/>
      <c r="C115" s="187"/>
      <c r="D115" s="187"/>
      <c r="E115" s="187"/>
      <c r="F115" s="187"/>
      <c r="G115" s="187"/>
      <c r="H115" s="187"/>
    </row>
    <row r="116" spans="1:8">
      <c r="A116" s="187"/>
      <c r="B116" s="187"/>
      <c r="C116" s="187"/>
      <c r="D116" s="187"/>
      <c r="E116" s="187"/>
      <c r="F116" s="187"/>
      <c r="G116" s="187"/>
      <c r="H116" s="187"/>
    </row>
    <row r="117" spans="1:8">
      <c r="A117" s="187"/>
      <c r="B117" s="187"/>
      <c r="C117" s="187"/>
      <c r="D117" s="187"/>
      <c r="E117" s="187"/>
      <c r="F117" s="187"/>
      <c r="G117" s="187"/>
      <c r="H117" s="187"/>
    </row>
    <row r="118" spans="1:8">
      <c r="A118" s="187"/>
      <c r="B118" s="187"/>
      <c r="C118" s="187"/>
      <c r="D118" s="187"/>
      <c r="E118" s="187"/>
      <c r="F118" s="187"/>
      <c r="G118" s="187"/>
      <c r="H118" s="187"/>
    </row>
    <row r="119" spans="1:8">
      <c r="A119" s="187"/>
      <c r="B119" s="187"/>
      <c r="C119" s="187"/>
      <c r="D119" s="187"/>
      <c r="E119" s="187"/>
      <c r="F119" s="187"/>
      <c r="G119" s="187"/>
      <c r="H119" s="187"/>
    </row>
    <row r="120" spans="1:8">
      <c r="A120" s="187"/>
      <c r="B120" s="187"/>
      <c r="C120" s="187"/>
      <c r="D120" s="187"/>
      <c r="E120" s="187"/>
      <c r="F120" s="187"/>
      <c r="G120" s="187"/>
      <c r="H120" s="187"/>
    </row>
  </sheetData>
  <sheetProtection formatCells="0" formatColumns="0" formatRows="0" insertColumns="0" insertRows="0" insertHyperlinks="0" deleteColumns="0" deleteRows="0" sort="0" autoFilter="0" pivotTables="0"/>
  <customSheetViews>
    <customSheetView guid="{2D8FE04E-10B5-4EAA-93D2-EE669C206AFD}" hiddenRows="1" topLeftCell="A49">
      <selection activeCell="E61" sqref="E61"/>
      <pageMargins left="0.78740157480314965" right="0" top="0" bottom="0" header="0" footer="0"/>
      <printOptions horizontalCentered="1"/>
      <pageSetup paperSize="9" scale="80" orientation="portrait" r:id="rId1"/>
      <headerFooter alignWithMargins="0"/>
    </customSheetView>
    <customSheetView guid="{5171270A-F9AF-4D41-A7C6-60AFF57C569E}" hiddenRows="1">
      <selection activeCell="C57" sqref="C57"/>
      <pageMargins left="0.78740157480314965" right="0" top="0" bottom="0" header="0" footer="0"/>
      <printOptions horizontalCentered="1"/>
      <pageSetup paperSize="9" scale="80" orientation="portrait" r:id="rId2"/>
      <headerFooter alignWithMargins="0"/>
    </customSheetView>
    <customSheetView guid="{13FA8F4C-0951-4875-9D44-4989C5CEBB01}" showPageBreaks="1" printArea="1" hiddenRows="1">
      <selection activeCell="G11" sqref="G11"/>
      <pageMargins left="0.78740157480314965" right="0" top="0" bottom="0" header="0" footer="0"/>
      <printOptions horizontalCentered="1"/>
      <pageSetup paperSize="9" scale="80" orientation="portrait" r:id="rId3"/>
      <headerFooter alignWithMargins="0"/>
    </customSheetView>
    <customSheetView guid="{77B961DF-431A-4785-A57B-FF1BA0586569}" hiddenRows="1" showRuler="0" topLeftCell="A23">
      <selection activeCell="H50" sqref="H50"/>
      <pageMargins left="0" right="0" top="0" bottom="0" header="0" footer="0"/>
      <pageSetup paperSize="9" scale="80" orientation="portrait" r:id="rId4"/>
      <headerFooter alignWithMargins="0"/>
    </customSheetView>
    <customSheetView guid="{AD887635-810A-407C-BA16-5AFA4A800B29}" hiddenRows="1" showRuler="0">
      <selection activeCell="H15" sqref="H15"/>
      <pageMargins left="0" right="0" top="0" bottom="0" header="0" footer="0"/>
      <pageSetup paperSize="9" scale="80" orientation="portrait" r:id="rId5"/>
      <headerFooter alignWithMargins="0"/>
    </customSheetView>
    <customSheetView guid="{C56ABC15-C776-4280-9985-F20AC3F66C8A}" hiddenRows="1">
      <selection activeCell="D1" sqref="D1"/>
      <pageMargins left="0.78740157480314965" right="0" top="0" bottom="0" header="0" footer="0"/>
      <printOptions horizontalCentered="1"/>
      <pageSetup paperSize="9" scale="80" orientation="portrait" r:id="rId6"/>
      <headerFooter alignWithMargins="0"/>
    </customSheetView>
  </customSheetViews>
  <phoneticPr fontId="2" type="noConversion"/>
  <printOptions horizontalCentered="1"/>
  <pageMargins left="0.78740157480314965" right="0" top="0" bottom="0" header="0" footer="0"/>
  <pageSetup paperSize="9" scale="80" orientation="portrait" r:id="rId7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20"/>
  <sheetViews>
    <sheetView topLeftCell="A31" zoomScaleNormal="100" workbookViewId="0">
      <selection activeCell="D23" sqref="D23"/>
    </sheetView>
  </sheetViews>
  <sheetFormatPr defaultRowHeight="12.75"/>
  <cols>
    <col min="1" max="1" width="6" style="13" customWidth="1"/>
    <col min="2" max="2" width="9.140625" style="13"/>
    <col min="3" max="3" width="22" style="13" customWidth="1"/>
    <col min="4" max="4" width="21.85546875" style="13" customWidth="1"/>
    <col min="5" max="5" width="9.5703125" style="13" bestFit="1" customWidth="1"/>
    <col min="6" max="6" width="14.5703125" style="13" bestFit="1" customWidth="1"/>
    <col min="7" max="7" width="17" style="13" bestFit="1" customWidth="1"/>
    <col min="8" max="8" width="17.7109375" style="13" customWidth="1"/>
    <col min="9" max="9" width="15.5703125" style="13" customWidth="1"/>
    <col min="10" max="16384" width="9.140625" style="13"/>
  </cols>
  <sheetData>
    <row r="1" spans="1:8">
      <c r="A1" s="12" t="str">
        <f>Languages!B122</f>
        <v>Ödəmə qrafiki : əsas məbləğ və mükafat daxil edilməklə</v>
      </c>
      <c r="F1" s="12" t="str">
        <f>Languages!B124</f>
        <v>S-042/14 saylı 02.12.14 tarixli daxili maliyyə lizinq müqaviləsinə Əlavə №3</v>
      </c>
      <c r="G1" s="12"/>
    </row>
    <row r="2" spans="1:8">
      <c r="A2" s="14"/>
      <c r="B2" s="14"/>
      <c r="C2" s="14"/>
      <c r="D2" s="14"/>
      <c r="E2" s="14"/>
      <c r="F2" s="14"/>
      <c r="G2" s="14"/>
      <c r="H2" s="14"/>
    </row>
    <row r="3" spans="1:8" ht="13.5" thickBot="1">
      <c r="A3" s="15"/>
      <c r="B3" s="15"/>
      <c r="C3" s="15"/>
      <c r="D3" s="16"/>
      <c r="E3" s="16"/>
      <c r="F3" s="16"/>
      <c r="G3" s="16"/>
      <c r="H3" s="16"/>
    </row>
    <row r="4" spans="1:8">
      <c r="A4" s="15"/>
      <c r="B4" s="15"/>
      <c r="C4" s="17" t="str">
        <f>Languages!B96</f>
        <v>Lizinq ödənişlərinin ümumi məbləği</v>
      </c>
      <c r="D4" s="18"/>
      <c r="E4" s="74">
        <f>E6+E10+E11+E12+E13</f>
        <v>62532.964267104355</v>
      </c>
      <c r="F4" s="19" t="s">
        <v>76</v>
      </c>
      <c r="G4" s="66"/>
      <c r="H4" s="20"/>
    </row>
    <row r="5" spans="1:8">
      <c r="A5" s="15"/>
      <c r="B5" s="15"/>
      <c r="C5" s="21"/>
      <c r="D5" s="22" t="str">
        <f>Languages!B116</f>
        <v>daxildir:</v>
      </c>
      <c r="E5" s="75"/>
      <c r="F5" s="23"/>
      <c r="G5" s="66"/>
      <c r="H5" s="20"/>
    </row>
    <row r="6" spans="1:8">
      <c r="A6" s="15"/>
      <c r="B6" s="15"/>
      <c r="C6" s="21"/>
      <c r="D6" s="22" t="str">
        <f>Languages!B100</f>
        <v>Əsas məbləğ</v>
      </c>
      <c r="E6" s="76">
        <f>'Mirror for payments'!E6*Load!$F$19</f>
        <v>44512</v>
      </c>
      <c r="F6" s="23" t="s">
        <v>76</v>
      </c>
      <c r="G6" s="66"/>
      <c r="H6" s="20"/>
    </row>
    <row r="7" spans="1:8">
      <c r="A7" s="15"/>
      <c r="B7" s="15"/>
      <c r="C7" s="21"/>
      <c r="D7" s="22" t="str">
        <f>Languages!B98</f>
        <v>o cümlədən:</v>
      </c>
      <c r="E7" s="76"/>
      <c r="F7" s="23" t="s">
        <v>76</v>
      </c>
      <c r="G7" s="66"/>
      <c r="H7" s="20"/>
    </row>
    <row r="8" spans="1:8">
      <c r="A8" s="15"/>
      <c r="B8" s="15"/>
      <c r="C8" s="21"/>
      <c r="D8" s="22" t="str">
        <f>Languages!B118</f>
        <v xml:space="preserve">       Lizinq verənin vəsaiti</v>
      </c>
      <c r="E8" s="76">
        <f>'Mirror for payments'!E8*Load!$F$19</f>
        <v>44512</v>
      </c>
      <c r="F8" s="23" t="s">
        <v>76</v>
      </c>
      <c r="G8" s="66"/>
      <c r="H8" s="77"/>
    </row>
    <row r="9" spans="1:8">
      <c r="A9" s="16"/>
      <c r="B9" s="16"/>
      <c r="C9" s="21"/>
      <c r="D9" s="28" t="str">
        <f>Languages!B120</f>
        <v xml:space="preserve">       Lizinq alanın avansı</v>
      </c>
      <c r="E9" s="76">
        <f>'Mirror for payments'!E9*Load!$F$19</f>
        <v>0</v>
      </c>
      <c r="F9" s="23" t="s">
        <v>76</v>
      </c>
      <c r="G9" s="66"/>
      <c r="H9" s="20"/>
    </row>
    <row r="10" spans="1:8">
      <c r="A10" s="16"/>
      <c r="B10" s="16"/>
      <c r="C10" s="21"/>
      <c r="D10" s="28" t="str">
        <f>Languages!B104</f>
        <v>Mükafat</v>
      </c>
      <c r="E10" s="76">
        <f>'Mirror for payments'!E10*Load!$F$19</f>
        <v>16685.604267104354</v>
      </c>
      <c r="F10" s="23" t="s">
        <v>76</v>
      </c>
      <c r="G10" s="66"/>
      <c r="H10" s="20"/>
    </row>
    <row r="11" spans="1:8">
      <c r="A11" s="16"/>
      <c r="B11" s="16"/>
      <c r="C11" s="21"/>
      <c r="D11" s="28" t="str">
        <f>Languages!B106</f>
        <v>Birdəfəlik mükafat</v>
      </c>
      <c r="E11" s="76">
        <f>'Mirror for payments'!E11*Load!$F$19</f>
        <v>1335.36</v>
      </c>
      <c r="F11" s="23" t="s">
        <v>76</v>
      </c>
      <c r="G11" s="66"/>
      <c r="H11" s="20"/>
    </row>
    <row r="12" spans="1:8">
      <c r="A12" s="16"/>
      <c r="B12" s="16"/>
      <c r="C12" s="21"/>
      <c r="D12" s="28" t="str">
        <f>Languages!B108</f>
        <v>Sığorta</v>
      </c>
      <c r="E12" s="76">
        <f>'Mirror for payments'!E12*Load!$F$19</f>
        <v>0</v>
      </c>
      <c r="F12" s="23" t="s">
        <v>76</v>
      </c>
      <c r="G12" s="66"/>
      <c r="H12" s="20"/>
    </row>
    <row r="13" spans="1:8" ht="13.5" thickBot="1">
      <c r="A13" s="16"/>
      <c r="B13" s="16"/>
      <c r="C13" s="25"/>
      <c r="D13" s="26" t="str">
        <f>Languages!B110</f>
        <v>Bank xərcləri</v>
      </c>
      <c r="E13" s="81">
        <f>'Mirror for payments'!E13*Load!$F$19</f>
        <v>0</v>
      </c>
      <c r="F13" s="27" t="s">
        <v>76</v>
      </c>
      <c r="G13" s="66"/>
      <c r="H13" s="20"/>
    </row>
    <row r="14" spans="1:8">
      <c r="A14" s="16"/>
      <c r="B14" s="16"/>
      <c r="C14" s="21"/>
      <c r="D14" s="28" t="str">
        <f>Languages!B112</f>
        <v>Lizinq müddəti</v>
      </c>
      <c r="E14" s="29">
        <f>Load!C7</f>
        <v>36</v>
      </c>
      <c r="F14" s="30" t="str">
        <f>Languages!B93</f>
        <v>Ay</v>
      </c>
      <c r="G14" s="67"/>
      <c r="H14" s="24"/>
    </row>
    <row r="15" spans="1:8" ht="13.5" thickBot="1">
      <c r="A15" s="16"/>
      <c r="B15" s="16"/>
      <c r="C15" s="25"/>
      <c r="D15" s="26" t="str">
        <f>Languages!B114</f>
        <v>Qüzəşt ayları</v>
      </c>
      <c r="E15" s="31">
        <f>Load!C10</f>
        <v>0</v>
      </c>
      <c r="F15" s="32" t="str">
        <f>Languages!B94</f>
        <v>Ay</v>
      </c>
      <c r="G15" s="67"/>
      <c r="H15" s="20"/>
    </row>
    <row r="16" spans="1:8" ht="0.75" customHeight="1">
      <c r="A16" s="16"/>
      <c r="B16" s="16"/>
      <c r="C16" s="17"/>
      <c r="D16" s="78" t="str">
        <f>Languages!B156</f>
        <v>İllik bahalanma</v>
      </c>
      <c r="E16" s="80">
        <f>'Mirror for payments'!E16</f>
        <v>13.495210480398063</v>
      </c>
      <c r="F16" s="79" t="s">
        <v>223</v>
      </c>
      <c r="G16" s="67"/>
      <c r="H16" s="20"/>
    </row>
    <row r="17" spans="1:8" ht="13.5" hidden="1" thickBot="1">
      <c r="A17" s="16"/>
      <c r="B17" s="16"/>
      <c r="C17" s="25"/>
      <c r="D17" s="26" t="str">
        <f>Languages!B158</f>
        <v>İllik faiz dərəcəsi</v>
      </c>
      <c r="E17" s="81">
        <f>Load!C8*100</f>
        <v>22</v>
      </c>
      <c r="F17" s="32" t="s">
        <v>223</v>
      </c>
      <c r="G17" s="67"/>
      <c r="H17" s="20"/>
    </row>
    <row r="18" spans="1:8" ht="13.5" thickBot="1"/>
    <row r="19" spans="1:8" ht="13.5" thickBot="1">
      <c r="A19" s="42"/>
      <c r="B19" s="42" t="str">
        <f>IF(Languages!$B$1=1,Languages!A134,IF(Languages!$B$1=2,Languages!B134,IF(Languages!$B$1=3,Languages!C134)))</f>
        <v>Tarix</v>
      </c>
      <c r="C19" s="42" t="str">
        <f>IF(Languages!$B$1=1,Languages!A137,IF(Languages!$B$1=2,Languages!B137,IF(Languages!$B$1=3,Languages!C137)))</f>
        <v>Ayın əvvəlinə saldo</v>
      </c>
      <c r="D19" s="33" t="str">
        <f>IF(Languages!$B$1=1,Languages!A138,IF(Languages!$B$1=2,Languages!B138,IF(Languages!$B$1=3,Languages!C138)))</f>
        <v>Ödəniş</v>
      </c>
      <c r="E19" s="33" t="str">
        <f>IF(Languages!$B$1=1,Languages!A139,IF(Languages!$B$1=2,Languages!B139,IF(Languages!$B$1=3,Languages!C139)))</f>
        <v>Mükafat</v>
      </c>
      <c r="F19" s="33" t="str">
        <f>IF(Languages!$B$1=1,Languages!A140,IF(Languages!$B$1=2,Languages!B140,IF(Languages!$B$1=3,Languages!C140)))</f>
        <v>Əsas məbləğ</v>
      </c>
      <c r="G19" s="33" t="str">
        <f>Languages!B154</f>
        <v>Sığorta/Bank xərcləri</v>
      </c>
      <c r="H19" s="33" t="str">
        <f>IF(Languages!$B$1=1,Languages!A141,IF(Languages!$B$1=2,Languages!B141,IF(Languages!$B$1=3,Languages!C141)))</f>
        <v>Ssuda üzrə qalıq</v>
      </c>
    </row>
    <row r="20" spans="1:8" ht="12.75" customHeight="1">
      <c r="A20" s="41" t="str">
        <f>IF(Languages!$B$1=1,Languages!A13,IF(Languages!$B$1=2,Languages!B13,IF(Languages!$B$1=3,Languages!C13)))</f>
        <v>Avans</v>
      </c>
      <c r="B20" s="43" t="str">
        <f>Load!C6</f>
        <v>02.12.14</v>
      </c>
      <c r="C20" s="69" t="str">
        <f>IF('Mirror for payments'!C20="","",IF('Mirror for payments'!C20=Languages!$B$86,Languages!$B$86,IF('Mirror for payments'!C20=Languages!$B$90,Languages!$B$90,IF('Mirror for payments'!C20=Languages!$B$88,Languages!$B$88,IF('Mirror for payments'!C20=Languages!$B$81,Languages!$B$81,IF('Mirror for payments'!C20="_____________________","_____________________",'Mirror for payments'!C20*Load!$F$19))))))</f>
        <v/>
      </c>
      <c r="D20" s="70">
        <f>IF('Mirror for payments'!D20="","",'Mirror for payments'!D20*Load!$F$19)</f>
        <v>1335.36</v>
      </c>
      <c r="E20" s="97">
        <f>IF('Mirror for payments'!E20="","",'Mirror for payments'!E20*Load!$F$19)</f>
        <v>1335.36</v>
      </c>
      <c r="F20" s="97" t="str">
        <f>IF('Mirror for payments'!F20="","",'Mirror for payments'!F20*Load!$F$19)</f>
        <v/>
      </c>
      <c r="G20" s="97">
        <f>IF('Mirror for payments'!G20="","",'Mirror for payments'!G20*Load!$F$19)</f>
        <v>0</v>
      </c>
      <c r="H20" s="72">
        <f>IF('Mirror for payments'!H20="","",IF('Mirror for payments'!H20=Languages!$B$84,Languages!$B$84,IF('Mirror for payments'!H20=Languages!$B$82,Languages!$B$82,IF('Mirror for payments'!H20=Languages!$B$83,Languages!$B$83,IF('Mirror for payments'!H20=Languages!$B$87,Languages!$B$87,IF('Mirror for payments'!H20="_____________________","_____________________",'Mirror for payments'!H20*Load!$F$19))))))</f>
        <v>61197.604267104354</v>
      </c>
    </row>
    <row r="21" spans="1:8" hidden="1">
      <c r="A21" s="34"/>
      <c r="B21" s="35"/>
      <c r="C21" s="69">
        <f>IF('Mirror for payments'!C21="","",IF('Mirror for payments'!C21=Languages!$B$86,Languages!$B$86,IF('Mirror for payments'!C21=Languages!$B$90,Languages!$B$90,IF('Mirror for payments'!C21=Languages!$B$88,Languages!$B$88,IF('Mirror for payments'!C21=Languages!$B$81,Languages!$B$81,IF('Mirror for payments'!C21="_____________________","_____________________",'Mirror for payments'!C21*Load!$F$19))))))</f>
        <v>44512</v>
      </c>
      <c r="D21" s="70" t="str">
        <f>IF('Mirror for payments'!D21="","",'Mirror for payments'!D21*Load!$F$19)</f>
        <v/>
      </c>
      <c r="E21" s="97" t="str">
        <f>IF('Mirror for payments'!E21="","",'Mirror for payments'!E21*Load!$F$19)</f>
        <v/>
      </c>
      <c r="F21" s="97">
        <f>IF('Mirror for payments'!F21="","",'Mirror for payments'!F21*Load!$F$19)</f>
        <v>0</v>
      </c>
      <c r="G21" s="97" t="str">
        <f>IF('Mirror for payments'!G21="","",'Mirror for payments'!G21*Load!$F$19)</f>
        <v/>
      </c>
      <c r="H21" s="72">
        <f>IF('Mirror for payments'!H21="","",IF('Mirror for payments'!H21=Languages!$B$84,Languages!$B$84,IF('Mirror for payments'!H21=Languages!$B$82,Languages!$B$82,IF('Mirror for payments'!H21=Languages!$B$83,Languages!$B$83,IF('Mirror for payments'!H21=Languages!$B$87,Languages!$B$87,IF('Mirror for payments'!H21="_____________________","_____________________",'Mirror for payments'!H21*Load!$F$19))))))</f>
        <v>44512</v>
      </c>
    </row>
    <row r="22" spans="1:8">
      <c r="A22" s="36">
        <f>1</f>
        <v>1</v>
      </c>
      <c r="B22" s="37" t="str">
        <f>Load!C12</f>
        <v>02.01.15</v>
      </c>
      <c r="C22" s="69">
        <f>IF('Mirror for payments'!C22="","",IF('Mirror for payments'!C22=Languages!$B$86,Languages!$B$86,IF('Mirror for payments'!C22=Languages!$B$90,Languages!$B$90,IF('Mirror for payments'!C22=Languages!$B$88,Languages!$B$88,IF('Mirror for payments'!C22=Languages!$B$81,Languages!$B$81,IF('Mirror for payments'!C22="_____________________","_____________________",'Mirror for payments'!C22*Load!$F$19))))))</f>
        <v>44512</v>
      </c>
      <c r="D22" s="70">
        <f>IF('Mirror for payments'!D22="","",'Mirror for payments'!D22*Load!$F$19)</f>
        <v>1699.9334518640101</v>
      </c>
      <c r="E22" s="97">
        <f>IF('Mirror for payments'!E22="","",'Mirror for payments'!E22*Load!$F$19)</f>
        <v>816.0533333333334</v>
      </c>
      <c r="F22" s="97">
        <f>IF('Mirror for payments'!F22="","",'Mirror for payments'!F22*Load!$F$19)</f>
        <v>883.88011853067655</v>
      </c>
      <c r="G22" s="97">
        <f>IF('Mirror for payments'!G22="","",'Mirror for payments'!G22*Load!$F$19)</f>
        <v>0</v>
      </c>
      <c r="H22" s="72">
        <f>IF('Mirror for payments'!H22="","",IF('Mirror for payments'!H22=Languages!$B$84,Languages!$B$84,IF('Mirror for payments'!H22=Languages!$B$82,Languages!$B$82,IF('Mirror for payments'!H22=Languages!$B$83,Languages!$B$83,IF('Mirror for payments'!H22=Languages!$B$87,Languages!$B$87,IF('Mirror for payments'!H22="_____________________","_____________________",'Mirror for payments'!H22*Load!$F$19))))))</f>
        <v>43628.119881469327</v>
      </c>
    </row>
    <row r="23" spans="1:8">
      <c r="A23" s="38">
        <v>2</v>
      </c>
      <c r="B23" s="35" t="str">
        <f>Dates!B2</f>
        <v>02.02.15</v>
      </c>
      <c r="C23" s="69">
        <f>IF('Mirror for payments'!C23="","",IF('Mirror for payments'!C23=Languages!$B$86,Languages!$B$86,IF('Mirror for payments'!C23=Languages!$B$90,Languages!$B$90,IF('Mirror for payments'!C23=Languages!$B$88,Languages!$B$88,IF('Mirror for payments'!C23=Languages!$B$81,Languages!$B$81,IF('Mirror for payments'!C23="_____________________","_____________________",'Mirror for payments'!C23*Load!$F$19))))))</f>
        <v>43628.119881469327</v>
      </c>
      <c r="D23" s="70">
        <f>IF('Mirror for payments'!D23="","",'Mirror for payments'!D23*Load!$F$19)</f>
        <v>1699.9334518640101</v>
      </c>
      <c r="E23" s="97">
        <f>IF('Mirror for payments'!E23="","",'Mirror for payments'!E23*Load!$F$19)</f>
        <v>799.84886449360431</v>
      </c>
      <c r="F23" s="97">
        <f>IF('Mirror for payments'!F23="","",'Mirror for payments'!F23*Load!$F$19)</f>
        <v>900.08458737040564</v>
      </c>
      <c r="G23" s="97">
        <f>IF('Mirror for payments'!G23="","",'Mirror for payments'!G23*Load!$F$19)</f>
        <v>0</v>
      </c>
      <c r="H23" s="72">
        <f>IF('Mirror for payments'!H23="","",IF('Mirror for payments'!H23=Languages!$B$84,Languages!$B$84,IF('Mirror for payments'!H23=Languages!$B$82,Languages!$B$82,IF('Mirror for payments'!H23=Languages!$B$83,Languages!$B$83,IF('Mirror for payments'!H23=Languages!$B$87,Languages!$B$87,IF('Mirror for payments'!H23="_____________________","_____________________",'Mirror for payments'!H23*Load!$F$19))))))</f>
        <v>42728.035294098918</v>
      </c>
    </row>
    <row r="24" spans="1:8">
      <c r="A24" s="38">
        <f>IF(E$14&gt;=Dates!A3,Dates!A3,IF(E$14=Dates!A2,Languages!$B$136,""))</f>
        <v>3</v>
      </c>
      <c r="B24" s="35" t="str">
        <f>IF(E$14&gt;=Dates!A3,Dates!B3,"")</f>
        <v>02.03.15</v>
      </c>
      <c r="C24" s="69">
        <f>IF('Mirror for payments'!C24="","",IF('Mirror for payments'!C24=Languages!$B$86,Languages!$B$86,IF('Mirror for payments'!C24=Languages!$B$90,Languages!$B$90,IF('Mirror for payments'!C24=Languages!$B$88,Languages!$B$88,IF('Mirror for payments'!C24=Languages!$B$81,Languages!$B$81,IF('Mirror for payments'!C24="_____________________","_____________________",'Mirror for payments'!C24*Load!$F$19))))))</f>
        <v>42728.035294098918</v>
      </c>
      <c r="D24" s="70">
        <f>IF('Mirror for payments'!D24="","",'Mirror for payments'!D24*Load!$F$19)</f>
        <v>1699.9334518640098</v>
      </c>
      <c r="E24" s="97">
        <f>IF('Mirror for payments'!E24="","",'Mirror for payments'!E24*Load!$F$19)</f>
        <v>783.34731372514693</v>
      </c>
      <c r="F24" s="97">
        <f>IF('Mirror for payments'!F24="","",'Mirror for payments'!F24*Load!$F$19)</f>
        <v>916.58613813886291</v>
      </c>
      <c r="G24" s="97">
        <f>IF('Mirror for payments'!G24="","",'Mirror for payments'!G24*Load!$F$19)</f>
        <v>0</v>
      </c>
      <c r="H24" s="72">
        <f>IF('Mirror for payments'!H24="","",IF('Mirror for payments'!H24=Languages!$B$84,Languages!$B$84,IF('Mirror for payments'!H24=Languages!$B$82,Languages!$B$82,IF('Mirror for payments'!H24=Languages!$B$83,Languages!$B$83,IF('Mirror for payments'!H24=Languages!$B$87,Languages!$B$87,IF('Mirror for payments'!H24="_____________________","_____________________",'Mirror for payments'!H24*Load!$F$19))))))</f>
        <v>41811.449155960057</v>
      </c>
    </row>
    <row r="25" spans="1:8">
      <c r="A25" s="38">
        <f>IF(E$14&gt;=Dates!A4,Dates!A4,IF(E$14=Dates!A3,Languages!$B$136,""))</f>
        <v>4</v>
      </c>
      <c r="B25" s="35" t="str">
        <f>IF(E$14&gt;=Dates!A4,Dates!B4,"")</f>
        <v>02.04.15</v>
      </c>
      <c r="C25" s="69">
        <f>IF('Mirror for payments'!C25="","",IF('Mirror for payments'!C25=Languages!$B$86,Languages!$B$86,IF('Mirror for payments'!C25=Languages!$B$90,Languages!$B$90,IF('Mirror for payments'!C25=Languages!$B$88,Languages!$B$88,IF('Mirror for payments'!C25=Languages!$B$81,Languages!$B$81,IF('Mirror for payments'!C25="_____________________","_____________________",'Mirror for payments'!C25*Load!$F$19))))))</f>
        <v>41811.449155960057</v>
      </c>
      <c r="D25" s="70">
        <f>IF('Mirror for payments'!D25="","",'Mirror for payments'!D25*Load!$F$19)</f>
        <v>1699.9334518640101</v>
      </c>
      <c r="E25" s="97">
        <f>IF('Mirror for payments'!E25="","",'Mirror for payments'!E25*Load!$F$19)</f>
        <v>766.54323452593439</v>
      </c>
      <c r="F25" s="97">
        <f>IF('Mirror for payments'!F25="","",'Mirror for payments'!F25*Load!$F$19)</f>
        <v>933.39021733807544</v>
      </c>
      <c r="G25" s="97">
        <f>IF('Mirror for payments'!G25="","",'Mirror for payments'!G25*Load!$F$19)</f>
        <v>0</v>
      </c>
      <c r="H25" s="72">
        <f>IF('Mirror for payments'!H25="","",IF('Mirror for payments'!H25=Languages!$B$84,Languages!$B$84,IF('Mirror for payments'!H25=Languages!$B$82,Languages!$B$82,IF('Mirror for payments'!H25=Languages!$B$83,Languages!$B$83,IF('Mirror for payments'!H25=Languages!$B$87,Languages!$B$87,IF('Mirror for payments'!H25="_____________________","_____________________",'Mirror for payments'!H25*Load!$F$19))))))</f>
        <v>40878.05893862198</v>
      </c>
    </row>
    <row r="26" spans="1:8">
      <c r="A26" s="38">
        <f>IF(E$14&gt;=Dates!A5,Dates!A5,IF(E$14=Dates!A4,Languages!$B$136,""))</f>
        <v>5</v>
      </c>
      <c r="B26" s="35" t="str">
        <f>IF(E$14&gt;=Dates!A5,Dates!B5,"")</f>
        <v>02.05.15</v>
      </c>
      <c r="C26" s="69">
        <f>IF('Mirror for payments'!C26="","",IF('Mirror for payments'!C26=Languages!$B$86,Languages!$B$86,IF('Mirror for payments'!C26=Languages!$B$90,Languages!$B$90,IF('Mirror for payments'!C26=Languages!$B$88,Languages!$B$88,IF('Mirror for payments'!C26=Languages!$B$81,Languages!$B$81,IF('Mirror for payments'!C26="_____________________","_____________________",'Mirror for payments'!C26*Load!$F$19))))))</f>
        <v>40878.05893862198</v>
      </c>
      <c r="D26" s="70">
        <f>IF('Mirror for payments'!D26="","",'Mirror for payments'!D26*Load!$F$19)</f>
        <v>1699.9334518640101</v>
      </c>
      <c r="E26" s="97">
        <f>IF('Mirror for payments'!E26="","",'Mirror for payments'!E26*Load!$F$19)</f>
        <v>749.43108054140305</v>
      </c>
      <c r="F26" s="97">
        <f>IF('Mirror for payments'!F26="","",'Mirror for payments'!F26*Load!$F$19)</f>
        <v>950.5023713226069</v>
      </c>
      <c r="G26" s="97">
        <f>IF('Mirror for payments'!G26="","",'Mirror for payments'!G26*Load!$F$19)</f>
        <v>0</v>
      </c>
      <c r="H26" s="72">
        <f>IF('Mirror for payments'!H26="","",IF('Mirror for payments'!H26=Languages!$B$84,Languages!$B$84,IF('Mirror for payments'!H26=Languages!$B$82,Languages!$B$82,IF('Mirror for payments'!H26=Languages!$B$83,Languages!$B$83,IF('Mirror for payments'!H26=Languages!$B$87,Languages!$B$87,IF('Mirror for payments'!H26="_____________________","_____________________",'Mirror for payments'!H26*Load!$F$19))))))</f>
        <v>39927.556567299376</v>
      </c>
    </row>
    <row r="27" spans="1:8">
      <c r="A27" s="38">
        <f>IF(E$14&gt;=Dates!A6,Dates!A6,IF(E$14=Dates!A5,Languages!$B$136,""))</f>
        <v>6</v>
      </c>
      <c r="B27" s="35" t="str">
        <f>IF(E$14&gt;=Dates!A6,Dates!B6,"")</f>
        <v>02.06.15</v>
      </c>
      <c r="C27" s="69">
        <f>IF('Mirror for payments'!C27="","",IF('Mirror for payments'!C27=Languages!$B$86,Languages!$B$86,IF('Mirror for payments'!C27=Languages!$B$90,Languages!$B$90,IF('Mirror for payments'!C27=Languages!$B$88,Languages!$B$88,IF('Mirror for payments'!C27=Languages!$B$81,Languages!$B$81,IF('Mirror for payments'!C27="_____________________","_____________________",'Mirror for payments'!C27*Load!$F$19))))))</f>
        <v>39927.556567299376</v>
      </c>
      <c r="D27" s="70">
        <f>IF('Mirror for payments'!D27="","",'Mirror for payments'!D27*Load!$F$19)</f>
        <v>1699.9334518640096</v>
      </c>
      <c r="E27" s="97">
        <f>IF('Mirror for payments'!E27="","",'Mirror for payments'!E27*Load!$F$19)</f>
        <v>732.00520373382187</v>
      </c>
      <c r="F27" s="97">
        <f>IF('Mirror for payments'!F27="","",'Mirror for payments'!F27*Load!$F$19)</f>
        <v>967.92824813018785</v>
      </c>
      <c r="G27" s="97">
        <f>IF('Mirror for payments'!G27="","",'Mirror for payments'!G27*Load!$F$19)</f>
        <v>0</v>
      </c>
      <c r="H27" s="72">
        <f>IF('Mirror for payments'!H27="","",IF('Mirror for payments'!H27=Languages!$B$84,Languages!$B$84,IF('Mirror for payments'!H27=Languages!$B$82,Languages!$B$82,IF('Mirror for payments'!H27=Languages!$B$83,Languages!$B$83,IF('Mirror for payments'!H27=Languages!$B$87,Languages!$B$87,IF('Mirror for payments'!H27="_____________________","_____________________",'Mirror for payments'!H27*Load!$F$19))))))</f>
        <v>38959.628319169184</v>
      </c>
    </row>
    <row r="28" spans="1:8">
      <c r="A28" s="38">
        <f>IF(E$14&gt;=Dates!A7,Dates!A7,IF(E$14=Dates!A6,Languages!$B$136,""))</f>
        <v>7</v>
      </c>
      <c r="B28" s="35" t="str">
        <f>IF(E$14&gt;=Dates!A7,Dates!B7,"")</f>
        <v>02.07.15</v>
      </c>
      <c r="C28" s="69">
        <f>IF('Mirror for payments'!C28="","",IF('Mirror for payments'!C28=Languages!$B$86,Languages!$B$86,IF('Mirror for payments'!C28=Languages!$B$90,Languages!$B$90,IF('Mirror for payments'!C28=Languages!$B$88,Languages!$B$88,IF('Mirror for payments'!C28=Languages!$B$81,Languages!$B$81,IF('Mirror for payments'!C28="_____________________","_____________________",'Mirror for payments'!C28*Load!$F$19))))))</f>
        <v>38959.628319169184</v>
      </c>
      <c r="D28" s="70">
        <f>IF('Mirror for payments'!D28="","",'Mirror for payments'!D28*Load!$F$19)</f>
        <v>1699.9334518640098</v>
      </c>
      <c r="E28" s="97">
        <f>IF('Mirror for payments'!E28="","",'Mirror for payments'!E28*Load!$F$19)</f>
        <v>714.25985251810175</v>
      </c>
      <c r="F28" s="97">
        <f>IF('Mirror for payments'!F28="","",'Mirror for payments'!F28*Load!$F$19)</f>
        <v>985.67359934590809</v>
      </c>
      <c r="G28" s="97">
        <f>IF('Mirror for payments'!G28="","",'Mirror for payments'!G28*Load!$F$19)</f>
        <v>0</v>
      </c>
      <c r="H28" s="72">
        <f>IF('Mirror for payments'!H28="","",IF('Mirror for payments'!H28=Languages!$B$84,Languages!$B$84,IF('Mirror for payments'!H28=Languages!$B$82,Languages!$B$82,IF('Mirror for payments'!H28=Languages!$B$83,Languages!$B$83,IF('Mirror for payments'!H28=Languages!$B$87,Languages!$B$87,IF('Mirror for payments'!H28="_____________________","_____________________",'Mirror for payments'!H28*Load!$F$19))))))</f>
        <v>37973.954719823283</v>
      </c>
    </row>
    <row r="29" spans="1:8">
      <c r="A29" s="38">
        <f>IF(E$14&gt;=Dates!A8,Dates!A8,IF(E$14=Dates!A7,Languages!$B$136,""))</f>
        <v>8</v>
      </c>
      <c r="B29" s="35" t="str">
        <f>IF(E$14&gt;=Dates!A8,Dates!B8,"")</f>
        <v>02.08.15</v>
      </c>
      <c r="C29" s="69">
        <f>IF('Mirror for payments'!C29="","",IF('Mirror for payments'!C29=Languages!$B$86,Languages!$B$86,IF('Mirror for payments'!C29=Languages!$B$90,Languages!$B$90,IF('Mirror for payments'!C29=Languages!$B$88,Languages!$B$88,IF('Mirror for payments'!C29=Languages!$B$81,Languages!$B$81,IF('Mirror for payments'!C29="_____________________","_____________________",'Mirror for payments'!C29*Load!$F$19))))))</f>
        <v>37973.954719823283</v>
      </c>
      <c r="D29" s="70">
        <f>IF('Mirror for payments'!D29="","",'Mirror for payments'!D29*Load!$F$19)</f>
        <v>1699.9334518640098</v>
      </c>
      <c r="E29" s="97">
        <f>IF('Mirror for payments'!E29="","",'Mirror for payments'!E29*Load!$F$19)</f>
        <v>696.18916986342686</v>
      </c>
      <c r="F29" s="97">
        <f>IF('Mirror for payments'!F29="","",'Mirror for payments'!F29*Load!$F$19)</f>
        <v>1003.744282000583</v>
      </c>
      <c r="G29" s="97">
        <f>IF('Mirror for payments'!G29="","",'Mirror for payments'!G29*Load!$F$19)</f>
        <v>0</v>
      </c>
      <c r="H29" s="72">
        <f>IF('Mirror for payments'!H29="","",IF('Mirror for payments'!H29=Languages!$B$84,Languages!$B$84,IF('Mirror for payments'!H29=Languages!$B$82,Languages!$B$82,IF('Mirror for payments'!H29=Languages!$B$83,Languages!$B$83,IF('Mirror for payments'!H29=Languages!$B$87,Languages!$B$87,IF('Mirror for payments'!H29="_____________________","_____________________",'Mirror for payments'!H29*Load!$F$19))))))</f>
        <v>36970.210437822694</v>
      </c>
    </row>
    <row r="30" spans="1:8">
      <c r="A30" s="38">
        <f>IF(E$14&gt;=Dates!A9,Dates!A9,IF(E$14=Dates!A8,Languages!$B$136,""))</f>
        <v>9</v>
      </c>
      <c r="B30" s="35" t="str">
        <f>IF(E$14&gt;=Dates!A9,Dates!B9,"")</f>
        <v>02.09.15</v>
      </c>
      <c r="C30" s="69">
        <f>IF('Mirror for payments'!C30="","",IF('Mirror for payments'!C30=Languages!$B$86,Languages!$B$86,IF('Mirror for payments'!C30=Languages!$B$90,Languages!$B$90,IF('Mirror for payments'!C30=Languages!$B$88,Languages!$B$88,IF('Mirror for payments'!C30=Languages!$B$81,Languages!$B$81,IF('Mirror for payments'!C30="_____________________","_____________________",'Mirror for payments'!C30*Load!$F$19))))))</f>
        <v>36970.210437822694</v>
      </c>
      <c r="D30" s="70">
        <f>IF('Mirror for payments'!D30="","",'Mirror for payments'!D30*Load!$F$19)</f>
        <v>1699.9334518640098</v>
      </c>
      <c r="E30" s="97">
        <f>IF('Mirror for payments'!E30="","",'Mirror for payments'!E30*Load!$F$19)</f>
        <v>677.78719136008272</v>
      </c>
      <c r="F30" s="97">
        <f>IF('Mirror for payments'!F30="","",'Mirror for payments'!F30*Load!$F$19)</f>
        <v>1022.1462605039271</v>
      </c>
      <c r="G30" s="97">
        <f>IF('Mirror for payments'!G30="","",'Mirror for payments'!G30*Load!$F$19)</f>
        <v>0</v>
      </c>
      <c r="H30" s="72">
        <f>IF('Mirror for payments'!H30="","",IF('Mirror for payments'!H30=Languages!$B$84,Languages!$B$84,IF('Mirror for payments'!H30=Languages!$B$82,Languages!$B$82,IF('Mirror for payments'!H30=Languages!$B$83,Languages!$B$83,IF('Mirror for payments'!H30=Languages!$B$87,Languages!$B$87,IF('Mirror for payments'!H30="_____________________","_____________________",'Mirror for payments'!H30*Load!$F$19))))))</f>
        <v>35948.064177318767</v>
      </c>
    </row>
    <row r="31" spans="1:8">
      <c r="A31" s="38">
        <f>IF(E$14&gt;=Dates!A10,Dates!A10,IF(E$14=Dates!A9,Languages!$B$136,""))</f>
        <v>10</v>
      </c>
      <c r="B31" s="35" t="str">
        <f>IF(E$14&gt;=Dates!A10,Dates!B10,"")</f>
        <v>02.10.15</v>
      </c>
      <c r="C31" s="69">
        <f>IF('Mirror for payments'!C31="","",IF('Mirror for payments'!C31=Languages!$B$86,Languages!$B$86,IF('Mirror for payments'!C31=Languages!$B$90,Languages!$B$90,IF('Mirror for payments'!C31=Languages!$B$88,Languages!$B$88,IF('Mirror for payments'!C31=Languages!$B$81,Languages!$B$81,IF('Mirror for payments'!C31="_____________________","_____________________",'Mirror for payments'!C31*Load!$F$19))))))</f>
        <v>35948.064177318767</v>
      </c>
      <c r="D31" s="70">
        <f>IF('Mirror for payments'!D31="","",'Mirror for payments'!D31*Load!$F$19)</f>
        <v>1699.9334518640098</v>
      </c>
      <c r="E31" s="97">
        <f>IF('Mirror for payments'!E31="","",'Mirror for payments'!E31*Load!$F$19)</f>
        <v>659.04784325084404</v>
      </c>
      <c r="F31" s="97">
        <f>IF('Mirror for payments'!F31="","",'Mirror for payments'!F31*Load!$F$19)</f>
        <v>1040.8856086131657</v>
      </c>
      <c r="G31" s="97">
        <f>IF('Mirror for payments'!G31="","",'Mirror for payments'!G31*Load!$F$19)</f>
        <v>0</v>
      </c>
      <c r="H31" s="72">
        <f>IF('Mirror for payments'!H31="","",IF('Mirror for payments'!H31=Languages!$B$84,Languages!$B$84,IF('Mirror for payments'!H31=Languages!$B$82,Languages!$B$82,IF('Mirror for payments'!H31=Languages!$B$83,Languages!$B$83,IF('Mirror for payments'!H31=Languages!$B$87,Languages!$B$87,IF('Mirror for payments'!H31="_____________________","_____________________",'Mirror for payments'!H31*Load!$F$19))))))</f>
        <v>34907.178568705604</v>
      </c>
    </row>
    <row r="32" spans="1:8">
      <c r="A32" s="38">
        <f>IF(E$14&gt;=Dates!A11,Dates!A11,IF(E$14=Dates!A10,Languages!$B$136,""))</f>
        <v>11</v>
      </c>
      <c r="B32" s="35" t="str">
        <f>IF(E$14&gt;=Dates!A11,Dates!B11,"")</f>
        <v>02.11.15</v>
      </c>
      <c r="C32" s="71">
        <f>IF('Mirror for payments'!C32="","",IF('Mirror for payments'!C32=Languages!$B$86,Languages!$B$86,IF('Mirror for payments'!C32=Languages!$B$90,Languages!$B$90,IF('Mirror for payments'!C32=Languages!$B$88,Languages!$B$88,IF('Mirror for payments'!C32=Languages!$B$81,Languages!$B$81,IF('Mirror for payments'!C32="_____________________","_____________________",'Mirror for payments'!C32*Load!$F$19))))))</f>
        <v>34907.178568705604</v>
      </c>
      <c r="D32" s="70">
        <f>IF('Mirror for payments'!D32="","",'Mirror for payments'!D32*Load!$F$19)</f>
        <v>1699.9334518640098</v>
      </c>
      <c r="E32" s="97">
        <f>IF('Mirror for payments'!E32="","",'Mirror for payments'!E32*Load!$F$19)</f>
        <v>639.96494042626932</v>
      </c>
      <c r="F32" s="97">
        <f>IF('Mirror for payments'!F32="","",'Mirror for payments'!F32*Load!$F$19)</f>
        <v>1059.9685114377405</v>
      </c>
      <c r="G32" s="97">
        <f>IF('Mirror for payments'!G32="","",'Mirror for payments'!G32*Load!$F$19)</f>
        <v>0</v>
      </c>
      <c r="H32" s="72">
        <f>IF('Mirror for payments'!H32="","",IF('Mirror for payments'!H32=Languages!$B$84,Languages!$B$84,IF('Mirror for payments'!H32=Languages!$B$82,Languages!$B$82,IF('Mirror for payments'!H32=Languages!$B$83,Languages!$B$83,IF('Mirror for payments'!H32=Languages!$B$87,Languages!$B$87,IF('Mirror for payments'!H32="_____________________","_____________________",'Mirror for payments'!H32*Load!$F$19))))))</f>
        <v>33847.210057267861</v>
      </c>
    </row>
    <row r="33" spans="1:8">
      <c r="A33" s="38">
        <f>IF(E$14&gt;=Dates!A12,Dates!A12,IF(E$14=Dates!A11,Languages!$B$136,""))</f>
        <v>12</v>
      </c>
      <c r="B33" s="35" t="str">
        <f>IF(E$14&gt;=Dates!A12,Dates!B12,"")</f>
        <v>02.12.15</v>
      </c>
      <c r="C33" s="71">
        <f>IF('Mirror for payments'!C33="","",IF('Mirror for payments'!C33=Languages!$B$86,Languages!$B$86,IF('Mirror for payments'!C33=Languages!$B$90,Languages!$B$90,IF('Mirror for payments'!C33=Languages!$B$88,Languages!$B$88,IF('Mirror for payments'!C33=Languages!$B$81,Languages!$B$81,IF('Mirror for payments'!C33="_____________________","_____________________",'Mirror for payments'!C33*Load!$F$19))))))</f>
        <v>33847.210057267861</v>
      </c>
      <c r="D33" s="70">
        <f>IF('Mirror for payments'!D33="","",'Mirror for payments'!D33*Load!$F$19)</f>
        <v>1699.9334518640096</v>
      </c>
      <c r="E33" s="97">
        <f>IF('Mirror for payments'!E33="","",'Mirror for payments'!E33*Load!$F$19)</f>
        <v>620.53218438324416</v>
      </c>
      <c r="F33" s="97">
        <f>IF('Mirror for payments'!F33="","",'Mirror for payments'!F33*Load!$F$19)</f>
        <v>1079.4012674807657</v>
      </c>
      <c r="G33" s="97">
        <f>IF('Mirror for payments'!G33="","",'Mirror for payments'!G33*Load!$F$19)</f>
        <v>0</v>
      </c>
      <c r="H33" s="72">
        <f>IF('Mirror for payments'!H33="","",IF('Mirror for payments'!H33=Languages!$B$84,Languages!$B$84,IF('Mirror for payments'!H33=Languages!$B$82,Languages!$B$82,IF('Mirror for payments'!H33=Languages!$B$83,Languages!$B$83,IF('Mirror for payments'!H33=Languages!$B$87,Languages!$B$87,IF('Mirror for payments'!H33="_____________________","_____________________",'Mirror for payments'!H33*Load!$F$19))))))</f>
        <v>32767.808789787097</v>
      </c>
    </row>
    <row r="34" spans="1:8">
      <c r="A34" s="38">
        <f>IF(E$14&gt;=Dates!A13,Dates!A13,IF(E$14=Dates!A12,Languages!$B$136,""))</f>
        <v>13</v>
      </c>
      <c r="B34" s="35" t="str">
        <f>IF(E$14&gt;=Dates!A13,Dates!B13,"")</f>
        <v>02.01.16</v>
      </c>
      <c r="C34" s="71">
        <f>IF('Mirror for payments'!C34="","",IF('Mirror for payments'!C34=Languages!$B$86,Languages!$B$86,IF('Mirror for payments'!C34=Languages!$B$90,Languages!$B$90,IF('Mirror for payments'!C34=Languages!$B$88,Languages!$B$88,IF('Mirror for payments'!C34=Languages!$B$81,Languages!$B$81,IF('Mirror for payments'!C34="_____________________","_____________________",'Mirror for payments'!C34*Load!$F$19))))))</f>
        <v>32767.808789787097</v>
      </c>
      <c r="D34" s="70">
        <f>IF('Mirror for payments'!D34="","",'Mirror for payments'!D34*Load!$F$19)</f>
        <v>1699.9334518640096</v>
      </c>
      <c r="E34" s="97">
        <f>IF('Mirror for payments'!E34="","",'Mirror for payments'!E34*Load!$F$19)</f>
        <v>600.74316114609678</v>
      </c>
      <c r="F34" s="97">
        <f>IF('Mirror for payments'!F34="","",'Mirror for payments'!F34*Load!$F$19)</f>
        <v>1099.1902907179131</v>
      </c>
      <c r="G34" s="97">
        <f>IF('Mirror for payments'!G34="","",'Mirror for payments'!G34*Load!$F$19)</f>
        <v>0</v>
      </c>
      <c r="H34" s="72">
        <f>IF('Mirror for payments'!H34="","",IF('Mirror for payments'!H34=Languages!$B$84,Languages!$B$84,IF('Mirror for payments'!H34=Languages!$B$82,Languages!$B$82,IF('Mirror for payments'!H34=Languages!$B$83,Languages!$B$83,IF('Mirror for payments'!H34=Languages!$B$87,Languages!$B$87,IF('Mirror for payments'!H34="_____________________","_____________________",'Mirror for payments'!H34*Load!$F$19))))))</f>
        <v>31668.618499069184</v>
      </c>
    </row>
    <row r="35" spans="1:8">
      <c r="A35" s="38">
        <f>IF(E$14&gt;=Dates!A14,Dates!A14,IF(E$14=Dates!A13,Languages!$B$136,""))</f>
        <v>14</v>
      </c>
      <c r="B35" s="35" t="str">
        <f>IF(E$14&gt;=Dates!A14,Dates!B14,"")</f>
        <v>02.02.16</v>
      </c>
      <c r="C35" s="71">
        <f>IF('Mirror for payments'!C35="","",IF('Mirror for payments'!C35=Languages!$B$86,Languages!$B$86,IF('Mirror for payments'!C35=Languages!$B$90,Languages!$B$90,IF('Mirror for payments'!C35=Languages!$B$88,Languages!$B$88,IF('Mirror for payments'!C35=Languages!$B$81,Languages!$B$81,IF('Mirror for payments'!C35="_____________________","_____________________",'Mirror for payments'!C35*Load!$F$19))))))</f>
        <v>31668.618499069184</v>
      </c>
      <c r="D35" s="70">
        <f>IF('Mirror for payments'!D35="","",'Mirror for payments'!D35*Load!$F$19)</f>
        <v>1699.9334518640098</v>
      </c>
      <c r="E35" s="97">
        <f>IF('Mirror for payments'!E35="","",'Mirror for payments'!E35*Load!$F$19)</f>
        <v>580.59133914960171</v>
      </c>
      <c r="F35" s="97">
        <f>IF('Mirror for payments'!F35="","",'Mirror for payments'!F35*Load!$F$19)</f>
        <v>1119.3421127144081</v>
      </c>
      <c r="G35" s="97">
        <f>IF('Mirror for payments'!G35="","",'Mirror for payments'!G35*Load!$F$19)</f>
        <v>0</v>
      </c>
      <c r="H35" s="72">
        <f>IF('Mirror for payments'!H35="","",IF('Mirror for payments'!H35=Languages!$B$84,Languages!$B$84,IF('Mirror for payments'!H35=Languages!$B$82,Languages!$B$82,IF('Mirror for payments'!H35=Languages!$B$83,Languages!$B$83,IF('Mirror for payments'!H35=Languages!$B$87,Languages!$B$87,IF('Mirror for payments'!H35="_____________________","_____________________",'Mirror for payments'!H35*Load!$F$19))))))</f>
        <v>30549.276386354777</v>
      </c>
    </row>
    <row r="36" spans="1:8">
      <c r="A36" s="38">
        <f>IF(E$14&gt;=Dates!A15,Dates!A15,IF(E$14=Dates!A14,Languages!$B$136,""))</f>
        <v>15</v>
      </c>
      <c r="B36" s="35" t="str">
        <f>IF(E$14&gt;=Dates!A15,Dates!B15,"")</f>
        <v>02.03.16</v>
      </c>
      <c r="C36" s="71">
        <f>IF('Mirror for payments'!C36="","",IF('Mirror for payments'!C36=Languages!$B$86,Languages!$B$86,IF('Mirror for payments'!C36=Languages!$B$90,Languages!$B$90,IF('Mirror for payments'!C36=Languages!$B$88,Languages!$B$88,IF('Mirror for payments'!C36=Languages!$B$81,Languages!$B$81,IF('Mirror for payments'!C36="_____________________","_____________________",'Mirror for payments'!C36*Load!$F$19))))))</f>
        <v>30549.276386354777</v>
      </c>
      <c r="D36" s="70">
        <f>IF('Mirror for payments'!D36="","",'Mirror for payments'!D36*Load!$F$19)</f>
        <v>1699.9334518640096</v>
      </c>
      <c r="E36" s="97">
        <f>IF('Mirror for payments'!E36="","",'Mirror for payments'!E36*Load!$F$19)</f>
        <v>560.07006708317101</v>
      </c>
      <c r="F36" s="97">
        <f>IF('Mirror for payments'!F36="","",'Mirror for payments'!F36*Load!$F$19)</f>
        <v>1139.8633847808387</v>
      </c>
      <c r="G36" s="97">
        <f>IF('Mirror for payments'!G36="","",'Mirror for payments'!G36*Load!$F$19)</f>
        <v>0</v>
      </c>
      <c r="H36" s="72">
        <f>IF('Mirror for payments'!H36="","",IF('Mirror for payments'!H36=Languages!$B$84,Languages!$B$84,IF('Mirror for payments'!H36=Languages!$B$82,Languages!$B$82,IF('Mirror for payments'!H36=Languages!$B$83,Languages!$B$83,IF('Mirror for payments'!H36=Languages!$B$87,Languages!$B$87,IF('Mirror for payments'!H36="_____________________","_____________________",'Mirror for payments'!H36*Load!$F$19))))))</f>
        <v>29409.413001573939</v>
      </c>
    </row>
    <row r="37" spans="1:8">
      <c r="A37" s="38">
        <f>IF(E$14&gt;=Dates!A16,Dates!A16,IF(E$14=Dates!A15,Languages!$B$136,""))</f>
        <v>16</v>
      </c>
      <c r="B37" s="35" t="str">
        <f>IF(E$14&gt;=Dates!A16,Dates!B16,"")</f>
        <v>02.04.16</v>
      </c>
      <c r="C37" s="71">
        <f>IF('Mirror for payments'!C37="","",IF('Mirror for payments'!C37=Languages!$B$86,Languages!$B$86,IF('Mirror for payments'!C37=Languages!$B$90,Languages!$B$90,IF('Mirror for payments'!C37=Languages!$B$88,Languages!$B$88,IF('Mirror for payments'!C37=Languages!$B$81,Languages!$B$81,IF('Mirror for payments'!C37="_____________________","_____________________",'Mirror for payments'!C37*Load!$F$19))))))</f>
        <v>29409.413001573939</v>
      </c>
      <c r="D37" s="70">
        <f>IF('Mirror for payments'!D37="","",'Mirror for payments'!D37*Load!$F$19)</f>
        <v>1699.9334518640096</v>
      </c>
      <c r="E37" s="97">
        <f>IF('Mirror for payments'!E37="","",'Mirror for payments'!E37*Load!$F$19)</f>
        <v>539.17257169552215</v>
      </c>
      <c r="F37" s="97">
        <f>IF('Mirror for payments'!F37="","",'Mirror for payments'!F37*Load!$F$19)</f>
        <v>1160.7608801684876</v>
      </c>
      <c r="G37" s="97">
        <f>IF('Mirror for payments'!G37="","",'Mirror for payments'!G37*Load!$F$19)</f>
        <v>0</v>
      </c>
      <c r="H37" s="72">
        <f>IF('Mirror for payments'!H37="","",IF('Mirror for payments'!H37=Languages!$B$84,Languages!$B$84,IF('Mirror for payments'!H37=Languages!$B$82,Languages!$B$82,IF('Mirror for payments'!H37=Languages!$B$83,Languages!$B$83,IF('Mirror for payments'!H37=Languages!$B$87,Languages!$B$87,IF('Mirror for payments'!H37="_____________________","_____________________",'Mirror for payments'!H37*Load!$F$19))))))</f>
        <v>28248.652121405456</v>
      </c>
    </row>
    <row r="38" spans="1:8">
      <c r="A38" s="38">
        <f>IF(E$14&gt;=Dates!A17,Dates!A17,IF(E$14=Dates!A16,Languages!$B$136,""))</f>
        <v>17</v>
      </c>
      <c r="B38" s="35" t="str">
        <f>IF(E$14&gt;=Dates!A17,Dates!B17,"")</f>
        <v>02.05.16</v>
      </c>
      <c r="C38" s="71">
        <f>IF('Mirror for payments'!C38="","",IF('Mirror for payments'!C38=Languages!$B$86,Languages!$B$86,IF('Mirror for payments'!C38=Languages!$B$90,Languages!$B$90,IF('Mirror for payments'!C38=Languages!$B$88,Languages!$B$88,IF('Mirror for payments'!C38=Languages!$B$81,Languages!$B$81,IF('Mirror for payments'!C38="_____________________","_____________________",'Mirror for payments'!C38*Load!$F$19))))))</f>
        <v>28248.652121405456</v>
      </c>
      <c r="D38" s="70">
        <f>IF('Mirror for payments'!D38="","",'Mirror for payments'!D38*Load!$F$19)</f>
        <v>1699.9334518640098</v>
      </c>
      <c r="E38" s="97">
        <f>IF('Mirror for payments'!E38="","",'Mirror for payments'!E38*Load!$F$19)</f>
        <v>517.89195555909998</v>
      </c>
      <c r="F38" s="97">
        <f>IF('Mirror for payments'!F38="","",'Mirror for payments'!F38*Load!$F$19)</f>
        <v>1182.0414963049097</v>
      </c>
      <c r="G38" s="97">
        <f>IF('Mirror for payments'!G38="","",'Mirror for payments'!G38*Load!$F$19)</f>
        <v>0</v>
      </c>
      <c r="H38" s="72">
        <f>IF('Mirror for payments'!H38="","",IF('Mirror for payments'!H38=Languages!$B$84,Languages!$B$84,IF('Mirror for payments'!H38=Languages!$B$82,Languages!$B$82,IF('Mirror for payments'!H38=Languages!$B$83,Languages!$B$83,IF('Mirror for payments'!H38=Languages!$B$87,Languages!$B$87,IF('Mirror for payments'!H38="_____________________","_____________________",'Mirror for payments'!H38*Load!$F$19))))))</f>
        <v>27066.610625100544</v>
      </c>
    </row>
    <row r="39" spans="1:8">
      <c r="A39" s="38">
        <f>IF(E$14&gt;=Dates!A18,Dates!A18,IF(E$14=Dates!A17,Languages!$B$136,""))</f>
        <v>18</v>
      </c>
      <c r="B39" s="35" t="str">
        <f>IF(E$14&gt;=Dates!A18,Dates!B18,"")</f>
        <v>02.06.16</v>
      </c>
      <c r="C39" s="71">
        <f>IF('Mirror for payments'!C39="","",IF('Mirror for payments'!C39=Languages!$B$86,Languages!$B$86,IF('Mirror for payments'!C39=Languages!$B$90,Languages!$B$90,IF('Mirror for payments'!C39=Languages!$B$88,Languages!$B$88,IF('Mirror for payments'!C39=Languages!$B$81,Languages!$B$81,IF('Mirror for payments'!C39="_____________________","_____________________",'Mirror for payments'!C39*Load!$F$19))))))</f>
        <v>27066.610625100544</v>
      </c>
      <c r="D39" s="70">
        <f>IF('Mirror for payments'!D39="","",'Mirror for payments'!D39*Load!$F$19)</f>
        <v>1699.9334518640101</v>
      </c>
      <c r="E39" s="97">
        <f>IF('Mirror for payments'!E39="","",'Mirror for payments'!E39*Load!$F$19)</f>
        <v>496.22119479350999</v>
      </c>
      <c r="F39" s="97">
        <f>IF('Mirror for payments'!F39="","",'Mirror for payments'!F39*Load!$F$19)</f>
        <v>1203.7122570704998</v>
      </c>
      <c r="G39" s="97">
        <f>IF('Mirror for payments'!G39="","",'Mirror for payments'!G39*Load!$F$19)</f>
        <v>0</v>
      </c>
      <c r="H39" s="72">
        <f>IF('Mirror for payments'!H39="","",IF('Mirror for payments'!H39=Languages!$B$84,Languages!$B$84,IF('Mirror for payments'!H39=Languages!$B$82,Languages!$B$82,IF('Mirror for payments'!H39=Languages!$B$83,Languages!$B$83,IF('Mirror for payments'!H39=Languages!$B$87,Languages!$B$87,IF('Mirror for payments'!H39="_____________________","_____________________",'Mirror for payments'!H39*Load!$F$19))))))</f>
        <v>25862.898368030048</v>
      </c>
    </row>
    <row r="40" spans="1:8">
      <c r="A40" s="38">
        <f>IF(E$14&gt;=Dates!A19,Dates!A19,IF(E$14=Dates!A18,Languages!$B$136,""))</f>
        <v>19</v>
      </c>
      <c r="B40" s="35" t="str">
        <f>IF(E$14&gt;=Dates!A19,Dates!B19,"")</f>
        <v>02.07.16</v>
      </c>
      <c r="C40" s="71">
        <f>IF('Mirror for payments'!C40="","",IF('Mirror for payments'!C40=Languages!$B$86,Languages!$B$86,IF('Mirror for payments'!C40=Languages!$B$90,Languages!$B$90,IF('Mirror for payments'!C40=Languages!$B$88,Languages!$B$88,IF('Mirror for payments'!C40=Languages!$B$81,Languages!$B$81,IF('Mirror for payments'!C40="_____________________","_____________________",'Mirror for payments'!C40*Load!$F$19))))))</f>
        <v>25862.898368030048</v>
      </c>
      <c r="D40" s="70">
        <f>IF('Mirror for payments'!D40="","",'Mirror for payments'!D40*Load!$F$19)</f>
        <v>1699.9334518640096</v>
      </c>
      <c r="E40" s="97">
        <f>IF('Mirror for payments'!E40="","",'Mirror for payments'!E40*Load!$F$19)</f>
        <v>474.1531367472175</v>
      </c>
      <c r="F40" s="97">
        <f>IF('Mirror for payments'!F40="","",'Mirror for payments'!F40*Load!$F$19)</f>
        <v>1225.7803151167923</v>
      </c>
      <c r="G40" s="97">
        <f>IF('Mirror for payments'!G40="","",'Mirror for payments'!G40*Load!$F$19)</f>
        <v>0</v>
      </c>
      <c r="H40" s="72">
        <f>IF('Mirror for payments'!H40="","",IF('Mirror for payments'!H40=Languages!$B$84,Languages!$B$84,IF('Mirror for payments'!H40=Languages!$B$82,Languages!$B$82,IF('Mirror for payments'!H40=Languages!$B$83,Languages!$B$83,IF('Mirror for payments'!H40=Languages!$B$87,Languages!$B$87,IF('Mirror for payments'!H40="_____________________","_____________________",'Mirror for payments'!H40*Load!$F$19))))))</f>
        <v>24637.118052913254</v>
      </c>
    </row>
    <row r="41" spans="1:8">
      <c r="A41" s="38">
        <f>IF(E$14&gt;=Dates!A20,Dates!A20,IF(E$14=Dates!A19,Languages!$B$136,""))</f>
        <v>20</v>
      </c>
      <c r="B41" s="35" t="str">
        <f>IF(E$14&gt;=Dates!A20,Dates!B20,"")</f>
        <v>02.08.16</v>
      </c>
      <c r="C41" s="71">
        <f>IF('Mirror for payments'!C41="","",IF('Mirror for payments'!C41=Languages!$B$86,Languages!$B$86,IF('Mirror for payments'!C41=Languages!$B$90,Languages!$B$90,IF('Mirror for payments'!C41=Languages!$B$88,Languages!$B$88,IF('Mirror for payments'!C41=Languages!$B$81,Languages!$B$81,IF('Mirror for payments'!C41="_____________________","_____________________",'Mirror for payments'!C41*Load!$F$19))))))</f>
        <v>24637.118052913254</v>
      </c>
      <c r="D41" s="70">
        <f>IF('Mirror for payments'!D41="","",'Mirror for payments'!D41*Load!$F$19)</f>
        <v>1699.9334518640096</v>
      </c>
      <c r="E41" s="97">
        <f>IF('Mirror for payments'!E41="","",'Mirror for payments'!E41*Load!$F$19)</f>
        <v>451.68049763674298</v>
      </c>
      <c r="F41" s="97">
        <f>IF('Mirror for payments'!F41="","",'Mirror for payments'!F41*Load!$F$19)</f>
        <v>1248.2529542272669</v>
      </c>
      <c r="G41" s="97">
        <f>IF('Mirror for payments'!G41="","",'Mirror for payments'!G41*Load!$F$19)</f>
        <v>0</v>
      </c>
      <c r="H41" s="72">
        <f>IF('Mirror for payments'!H41="","",IF('Mirror for payments'!H41=Languages!$B$84,Languages!$B$84,IF('Mirror for payments'!H41=Languages!$B$82,Languages!$B$82,IF('Mirror for payments'!H41=Languages!$B$83,Languages!$B$83,IF('Mirror for payments'!H41=Languages!$B$87,Languages!$B$87,IF('Mirror for payments'!H41="_____________________","_____________________",'Mirror for payments'!H41*Load!$F$19))))))</f>
        <v>23388.865098685987</v>
      </c>
    </row>
    <row r="42" spans="1:8">
      <c r="A42" s="38">
        <f>IF(E$14&gt;=Dates!A21,Dates!A21,IF(E$14=Dates!A20,Languages!$B$136,""))</f>
        <v>21</v>
      </c>
      <c r="B42" s="35" t="str">
        <f>IF(E$14&gt;=Dates!A21,Dates!B21,"")</f>
        <v>02.09.16</v>
      </c>
      <c r="C42" s="71">
        <f>IF('Mirror for payments'!C42="","",IF('Mirror for payments'!C42=Languages!$B$86,Languages!$B$86,IF('Mirror for payments'!C42=Languages!$B$90,Languages!$B$90,IF('Mirror for payments'!C42=Languages!$B$88,Languages!$B$88,IF('Mirror for payments'!C42=Languages!$B$81,Languages!$B$81,IF('Mirror for payments'!C42="_____________________","_____________________",'Mirror for payments'!C42*Load!$F$19))))))</f>
        <v>23388.865098685987</v>
      </c>
      <c r="D42" s="70">
        <f>IF('Mirror for payments'!D42="","",'Mirror for payments'!D42*Load!$F$19)</f>
        <v>1699.9334518640098</v>
      </c>
      <c r="E42" s="97">
        <f>IF('Mirror for payments'!E42="","",'Mirror for payments'!E42*Load!$F$19)</f>
        <v>428.79586014257643</v>
      </c>
      <c r="F42" s="97">
        <f>IF('Mirror for payments'!F42="","",'Mirror for payments'!F42*Load!$F$19)</f>
        <v>1271.1375917214334</v>
      </c>
      <c r="G42" s="97">
        <f>IF('Mirror for payments'!G42="","",'Mirror for payments'!G42*Load!$F$19)</f>
        <v>0</v>
      </c>
      <c r="H42" s="72">
        <f>IF('Mirror for payments'!H42="","",IF('Mirror for payments'!H42=Languages!$B$84,Languages!$B$84,IF('Mirror for payments'!H42=Languages!$B$82,Languages!$B$82,IF('Mirror for payments'!H42=Languages!$B$83,Languages!$B$83,IF('Mirror for payments'!H42=Languages!$B$87,Languages!$B$87,IF('Mirror for payments'!H42="_____________________","_____________________",'Mirror for payments'!H42*Load!$F$19))))))</f>
        <v>22117.727506964555</v>
      </c>
    </row>
    <row r="43" spans="1:8">
      <c r="A43" s="38">
        <f>IF(E$14&gt;=Dates!A22,Dates!A22,IF(E$14=Dates!A21,Languages!$B$136,""))</f>
        <v>22</v>
      </c>
      <c r="B43" s="35" t="str">
        <f>IF(E$14&gt;=Dates!A22,Dates!B22,"")</f>
        <v>02.10.16</v>
      </c>
      <c r="C43" s="71">
        <f>IF('Mirror for payments'!C43="","",IF('Mirror for payments'!C43=Languages!$B$86,Languages!$B$86,IF('Mirror for payments'!C43=Languages!$B$90,Languages!$B$90,IF('Mirror for payments'!C43=Languages!$B$88,Languages!$B$88,IF('Mirror for payments'!C43=Languages!$B$81,Languages!$B$81,IF('Mirror for payments'!C43="_____________________","_____________________",'Mirror for payments'!C43*Load!$F$19))))))</f>
        <v>22117.727506964555</v>
      </c>
      <c r="D43" s="70">
        <f>IF('Mirror for payments'!D43="","",'Mirror for payments'!D43*Load!$F$19)</f>
        <v>1699.9334518640098</v>
      </c>
      <c r="E43" s="97">
        <f>IF('Mirror for payments'!E43="","",'Mirror for payments'!E43*Load!$F$19)</f>
        <v>405.49167096101684</v>
      </c>
      <c r="F43" s="97">
        <f>IF('Mirror for payments'!F43="","",'Mirror for payments'!F43*Load!$F$19)</f>
        <v>1294.4417809029931</v>
      </c>
      <c r="G43" s="97">
        <f>IF('Mirror for payments'!G43="","",'Mirror for payments'!G43*Load!$F$19)</f>
        <v>0</v>
      </c>
      <c r="H43" s="72">
        <f>IF('Mirror for payments'!H43="","",IF('Mirror for payments'!H43=Languages!$B$84,Languages!$B$84,IF('Mirror for payments'!H43=Languages!$B$82,Languages!$B$82,IF('Mirror for payments'!H43=Languages!$B$83,Languages!$B$83,IF('Mirror for payments'!H43=Languages!$B$87,Languages!$B$87,IF('Mirror for payments'!H43="_____________________","_____________________",'Mirror for payments'!H43*Load!$F$19))))))</f>
        <v>20823.28572606156</v>
      </c>
    </row>
    <row r="44" spans="1:8">
      <c r="A44" s="38">
        <f>IF(E$14&gt;=Dates!A23,Dates!A23,IF(E$14=Dates!A22,Languages!$B$136,""))</f>
        <v>23</v>
      </c>
      <c r="B44" s="35" t="str">
        <f>IF(E$14&gt;=Dates!A23,Dates!B23,"")</f>
        <v>02.11.16</v>
      </c>
      <c r="C44" s="71">
        <f>IF('Mirror for payments'!C44="","",IF('Mirror for payments'!C44=Languages!$B$86,Languages!$B$86,IF('Mirror for payments'!C44=Languages!$B$90,Languages!$B$90,IF('Mirror for payments'!C44=Languages!$B$88,Languages!$B$88,IF('Mirror for payments'!C44=Languages!$B$81,Languages!$B$81,IF('Mirror for payments'!C44="_____________________","_____________________",'Mirror for payments'!C44*Load!$F$19))))))</f>
        <v>20823.28572606156</v>
      </c>
      <c r="D44" s="70">
        <f>IF('Mirror for payments'!D44="","",'Mirror for payments'!D44*Load!$F$19)</f>
        <v>1699.9334518640098</v>
      </c>
      <c r="E44" s="97">
        <f>IF('Mirror for payments'!E44="","",'Mirror for payments'!E44*Load!$F$19)</f>
        <v>381.76023831112855</v>
      </c>
      <c r="F44" s="97">
        <f>IF('Mirror for payments'!F44="","",'Mirror for payments'!F44*Load!$F$19)</f>
        <v>1318.1732135528812</v>
      </c>
      <c r="G44" s="97">
        <f>IF('Mirror for payments'!G44="","",'Mirror for payments'!G44*Load!$F$19)</f>
        <v>0</v>
      </c>
      <c r="H44" s="72">
        <f>IF('Mirror for payments'!H44="","",IF('Mirror for payments'!H44=Languages!$B$84,Languages!$B$84,IF('Mirror for payments'!H44=Languages!$B$82,Languages!$B$82,IF('Mirror for payments'!H44=Languages!$B$83,Languages!$B$83,IF('Mirror for payments'!H44=Languages!$B$87,Languages!$B$87,IF('Mirror for payments'!H44="_____________________","_____________________",'Mirror for payments'!H44*Load!$F$19))))))</f>
        <v>19505.11251250868</v>
      </c>
    </row>
    <row r="45" spans="1:8">
      <c r="A45" s="38">
        <f>IF(E$14&gt;=Dates!A24,Dates!A24,IF(E$14=Dates!A23,Languages!$B$136,""))</f>
        <v>24</v>
      </c>
      <c r="B45" s="35" t="str">
        <f>IF(E$14&gt;=Dates!A24,Dates!B24,"")</f>
        <v>02.12.16</v>
      </c>
      <c r="C45" s="71">
        <f>IF('Mirror for payments'!C45="","",IF('Mirror for payments'!C45=Languages!$B$86,Languages!$B$86,IF('Mirror for payments'!C45=Languages!$B$90,Languages!$B$90,IF('Mirror for payments'!C45=Languages!$B$88,Languages!$B$88,IF('Mirror for payments'!C45=Languages!$B$81,Languages!$B$81,IF('Mirror for payments'!C45="_____________________","_____________________",'Mirror for payments'!C45*Load!$F$19))))))</f>
        <v>19505.11251250868</v>
      </c>
      <c r="D45" s="70">
        <f>IF('Mirror for payments'!D45="","",'Mirror for payments'!D45*Load!$F$19)</f>
        <v>1699.9334518640098</v>
      </c>
      <c r="E45" s="97">
        <f>IF('Mirror for payments'!E45="","",'Mirror for payments'!E45*Load!$F$19)</f>
        <v>357.59372939599245</v>
      </c>
      <c r="F45" s="97">
        <f>IF('Mirror for payments'!F45="","",'Mirror for payments'!F45*Load!$F$19)</f>
        <v>1342.3397224680173</v>
      </c>
      <c r="G45" s="97">
        <f>IF('Mirror for payments'!G45="","",'Mirror for payments'!G45*Load!$F$19)</f>
        <v>0</v>
      </c>
      <c r="H45" s="72">
        <f>IF('Mirror for payments'!H45="","",IF('Mirror for payments'!H45=Languages!$B$84,Languages!$B$84,IF('Mirror for payments'!H45=Languages!$B$82,Languages!$B$82,IF('Mirror for payments'!H45=Languages!$B$83,Languages!$B$83,IF('Mirror for payments'!H45=Languages!$B$87,Languages!$B$87,IF('Mirror for payments'!H45="_____________________","_____________________",'Mirror for payments'!H45*Load!$F$19))))))</f>
        <v>18162.772790040661</v>
      </c>
    </row>
    <row r="46" spans="1:8">
      <c r="A46" s="38">
        <f>IF(E$14&gt;=Dates!A25,Dates!A25,IF(E$14=Dates!A24,Languages!$B$136,""))</f>
        <v>25</v>
      </c>
      <c r="B46" s="35" t="str">
        <f>IF(E$14&gt;=Dates!A25,Dates!B25,"")</f>
        <v>02.01.17</v>
      </c>
      <c r="C46" s="71">
        <f>IF('Mirror for payments'!C46="","",IF('Mirror for payments'!C46=Languages!$B$86,Languages!$B$86,IF('Mirror for payments'!C46=Languages!$B$90,Languages!$B$90,IF('Mirror for payments'!C46=Languages!$B$88,Languages!$B$88,IF('Mirror for payments'!C46=Languages!$B$81,Languages!$B$81,IF('Mirror for payments'!C46="_____________________","_____________________",'Mirror for payments'!C46*Load!$F$19))))))</f>
        <v>18162.772790040661</v>
      </c>
      <c r="D46" s="70">
        <f>IF('Mirror for payments'!D46="","",'Mirror for payments'!D46*Load!$F$19)</f>
        <v>1699.9334518640098</v>
      </c>
      <c r="E46" s="97">
        <f>IF('Mirror for payments'!E46="","",'Mirror for payments'!E46*Load!$F$19)</f>
        <v>332.98416781741213</v>
      </c>
      <c r="F46" s="97">
        <f>IF('Mirror for payments'!F46="","",'Mirror for payments'!F46*Load!$F$19)</f>
        <v>1366.9492840465975</v>
      </c>
      <c r="G46" s="97">
        <f>IF('Mirror for payments'!G46="","",'Mirror for payments'!G46*Load!$F$19)</f>
        <v>0</v>
      </c>
      <c r="H46" s="72">
        <f>IF('Mirror for payments'!H46="","",IF('Mirror for payments'!H46=Languages!$B$84,Languages!$B$84,IF('Mirror for payments'!H46=Languages!$B$82,Languages!$B$82,IF('Mirror for payments'!H46=Languages!$B$83,Languages!$B$83,IF('Mirror for payments'!H46=Languages!$B$87,Languages!$B$87,IF('Mirror for payments'!H46="_____________________","_____________________",'Mirror for payments'!H46*Load!$F$19))))))</f>
        <v>16795.82350599406</v>
      </c>
    </row>
    <row r="47" spans="1:8">
      <c r="A47" s="40">
        <f>IF(E$14&gt;=Dates!A26,Dates!A26,IF(E$14=Dates!A25,Languages!$B$136,""))</f>
        <v>26</v>
      </c>
      <c r="B47" s="39" t="str">
        <f>IF(E$14&gt;=Dates!A26,Dates!B26,"")</f>
        <v>02.02.17</v>
      </c>
      <c r="C47" s="98">
        <f>IF('Mirror for payments'!C47="","",IF('Mirror for payments'!C47=Languages!$B$86,Languages!$B$86,IF('Mirror for payments'!C47=Languages!$B$90,Languages!$B$90,IF('Mirror for payments'!C47=Languages!$B$88,Languages!$B$88,IF('Mirror for payments'!C47=Languages!$B$81,Languages!$B$81,IF('Mirror for payments'!C47="_____________________","_____________________",'Mirror for payments'!C47*Load!$F$19))))))</f>
        <v>16795.82350599406</v>
      </c>
      <c r="D47" s="101">
        <f>IF('Mirror for payments'!D47="","",'Mirror for payments'!D47*Load!$F$19)</f>
        <v>1699.9334518640098</v>
      </c>
      <c r="E47" s="99">
        <f>IF('Mirror for payments'!E47="","",'Mirror for payments'!E47*Load!$F$19)</f>
        <v>307.92343094322445</v>
      </c>
      <c r="F47" s="99">
        <f>IF('Mirror for payments'!F47="","",'Mirror for payments'!F47*Load!$F$19)</f>
        <v>1392.0100209207853</v>
      </c>
      <c r="G47" s="99">
        <f>IF('Mirror for payments'!G47="","",'Mirror for payments'!G47*Load!$F$19)</f>
        <v>0</v>
      </c>
      <c r="H47" s="100">
        <f>IF('Mirror for payments'!H47="","",IF('Mirror for payments'!H47=Languages!$B$84,Languages!$B$84,IF('Mirror for payments'!H47=Languages!$B$82,Languages!$B$82,IF('Mirror for payments'!H47=Languages!$B$83,Languages!$B$83,IF('Mirror for payments'!H47=Languages!$B$87,Languages!$B$87,IF('Mirror for payments'!H47="_____________________","_____________________",'Mirror for payments'!H47*Load!$F$19))))))</f>
        <v>15403.813485073275</v>
      </c>
    </row>
    <row r="48" spans="1:8">
      <c r="A48" s="40">
        <f>IF(E$14&gt;=Dates!A27,Dates!A27,IF(E$14=Dates!A26,Languages!$B$136,""))</f>
        <v>27</v>
      </c>
      <c r="B48" s="39" t="str">
        <f>IF(E$14&gt;=Dates!A27,Dates!B27,"")</f>
        <v>02.03.17</v>
      </c>
      <c r="C48" s="98">
        <f>IF('Mirror for payments'!C48="","",IF('Mirror for payments'!C48=Languages!$B$86,Languages!$B$86,IF('Mirror for payments'!C48=Languages!$B$90,Languages!$B$90,IF('Mirror for payments'!C48=Languages!$B$88,Languages!$B$88,IF('Mirror for payments'!C48=Languages!$B$81,Languages!$B$81,IF('Mirror for payments'!C48="_____________________","_____________________",'Mirror for payments'!C48*Load!$F$19))))))</f>
        <v>15403.813485073275</v>
      </c>
      <c r="D48" s="101">
        <f>IF('Mirror for payments'!D48="","",'Mirror for payments'!D48*Load!$F$19)</f>
        <v>1699.9334518640098</v>
      </c>
      <c r="E48" s="99">
        <f>IF('Mirror for payments'!E48="","",'Mirror for payments'!E48*Load!$F$19)</f>
        <v>282.40324722634335</v>
      </c>
      <c r="F48" s="99">
        <f>IF('Mirror for payments'!F48="","",'Mirror for payments'!F48*Load!$F$19)</f>
        <v>1417.5302046376664</v>
      </c>
      <c r="G48" s="99">
        <f>IF('Mirror for payments'!G48="","",'Mirror for payments'!G48*Load!$F$19)</f>
        <v>0</v>
      </c>
      <c r="H48" s="100">
        <f>IF('Mirror for payments'!H48="","",IF('Mirror for payments'!H48=Languages!$B$84,Languages!$B$84,IF('Mirror for payments'!H48=Languages!$B$82,Languages!$B$82,IF('Mirror for payments'!H48=Languages!$B$83,Languages!$B$83,IF('Mirror for payments'!H48=Languages!$B$87,Languages!$B$87,IF('Mirror for payments'!H48="_____________________","_____________________",'Mirror for payments'!H48*Load!$F$19))))))</f>
        <v>13986.283280435609</v>
      </c>
    </row>
    <row r="49" spans="1:8">
      <c r="A49" s="40">
        <f>IF(E$14&gt;=Dates!A28,Dates!A28,IF(E$14=Dates!A27,Languages!$B$136,""))</f>
        <v>28</v>
      </c>
      <c r="B49" s="39" t="str">
        <f>IF(E$14&gt;=Dates!A28,Dates!B28,"")</f>
        <v>02.04.17</v>
      </c>
      <c r="C49" s="98">
        <f>IF('Mirror for payments'!C49="","",IF('Mirror for payments'!C49=Languages!$B$86,Languages!$B$86,IF('Mirror for payments'!C49=Languages!$B$90,Languages!$B$90,IF('Mirror for payments'!C49=Languages!$B$88,Languages!$B$88,IF('Mirror for payments'!C49=Languages!$B$81,Languages!$B$81,IF('Mirror for payments'!C49="_____________________","_____________________",'Mirror for payments'!C49*Load!$F$19))))))</f>
        <v>13986.283280435609</v>
      </c>
      <c r="D49" s="101">
        <f>IF('Mirror for payments'!D49="","",'Mirror for payments'!D49*Load!$F$19)</f>
        <v>1699.9334518640098</v>
      </c>
      <c r="E49" s="99">
        <f>IF('Mirror for payments'!E49="","",'Mirror for payments'!E49*Load!$F$19)</f>
        <v>256.41519347465282</v>
      </c>
      <c r="F49" s="99">
        <f>IF('Mirror for payments'!F49="","",'Mirror for payments'!F49*Load!$F$19)</f>
        <v>1443.518258389357</v>
      </c>
      <c r="G49" s="99">
        <f>IF('Mirror for payments'!G49="","",'Mirror for payments'!G49*Load!$F$19)</f>
        <v>0</v>
      </c>
      <c r="H49" s="100">
        <f>IF('Mirror for payments'!H49="","",IF('Mirror for payments'!H49=Languages!$B$84,Languages!$B$84,IF('Mirror for payments'!H49=Languages!$B$82,Languages!$B$82,IF('Mirror for payments'!H49=Languages!$B$83,Languages!$B$83,IF('Mirror for payments'!H49=Languages!$B$87,Languages!$B$87,IF('Mirror for payments'!H49="_____________________","_____________________",'Mirror for payments'!H49*Load!$F$19))))))</f>
        <v>12542.765022046253</v>
      </c>
    </row>
    <row r="50" spans="1:8">
      <c r="A50" s="40">
        <f>IF(E$14&gt;=Dates!A29,Dates!A29,IF(E$14=Dates!A28,Languages!$B$136,""))</f>
        <v>29</v>
      </c>
      <c r="B50" s="39" t="str">
        <f>IF(E$14&gt;=Dates!A29,Dates!B29,"")</f>
        <v>02.05.17</v>
      </c>
      <c r="C50" s="98">
        <f>IF('Mirror for payments'!C50="","",IF('Mirror for payments'!C50=Languages!$B$86,Languages!$B$86,IF('Mirror for payments'!C50=Languages!$B$90,Languages!$B$90,IF('Mirror for payments'!C50=Languages!$B$88,Languages!$B$88,IF('Mirror for payments'!C50=Languages!$B$81,Languages!$B$81,IF('Mirror for payments'!C50="_____________________","_____________________",'Mirror for payments'!C50*Load!$F$19))))))</f>
        <v>12542.765022046253</v>
      </c>
      <c r="D50" s="101">
        <f>IF('Mirror for payments'!D50="","",'Mirror for payments'!D50*Load!$F$19)</f>
        <v>1699.9334518640101</v>
      </c>
      <c r="E50" s="99">
        <f>IF('Mirror for payments'!E50="","",'Mirror for payments'!E50*Load!$F$19)</f>
        <v>229.95069207084799</v>
      </c>
      <c r="F50" s="99">
        <f>IF('Mirror for payments'!F50="","",'Mirror for payments'!F50*Load!$F$19)</f>
        <v>1469.9827597931619</v>
      </c>
      <c r="G50" s="99">
        <f>IF('Mirror for payments'!G50="","",'Mirror for payments'!G50*Load!$F$19)</f>
        <v>0</v>
      </c>
      <c r="H50" s="100">
        <f>IF('Mirror for payments'!H50="","",IF('Mirror for payments'!H50=Languages!$B$84,Languages!$B$84,IF('Mirror for payments'!H50=Languages!$B$82,Languages!$B$82,IF('Mirror for payments'!H50=Languages!$B$83,Languages!$B$83,IF('Mirror for payments'!H50=Languages!$B$87,Languages!$B$87,IF('Mirror for payments'!H50="_____________________","_____________________",'Mirror for payments'!H50*Load!$F$19))))))</f>
        <v>11072.782262253091</v>
      </c>
    </row>
    <row r="51" spans="1:8">
      <c r="A51" s="40">
        <f>IF(E$14&gt;=Dates!A30,Dates!A30,IF(E$14=Dates!A29,Languages!$B$136,""))</f>
        <v>30</v>
      </c>
      <c r="B51" s="39" t="str">
        <f>IF(E$14&gt;=Dates!A30,Dates!B30,"")</f>
        <v>02.06.17</v>
      </c>
      <c r="C51" s="98">
        <f>IF('Mirror for payments'!C51="","",IF('Mirror for payments'!C51=Languages!$B$86,Languages!$B$86,IF('Mirror for payments'!C51=Languages!$B$90,Languages!$B$90,IF('Mirror for payments'!C51=Languages!$B$88,Languages!$B$88,IF('Mirror for payments'!C51=Languages!$B$81,Languages!$B$81,IF('Mirror for payments'!C51="_____________________","_____________________",'Mirror for payments'!C51*Load!$F$19))))))</f>
        <v>11072.782262253091</v>
      </c>
      <c r="D51" s="101">
        <f>IF('Mirror for payments'!D51="","",'Mirror for payments'!D51*Load!$F$19)</f>
        <v>1699.9334518640098</v>
      </c>
      <c r="E51" s="99">
        <f>IF('Mirror for payments'!E51="","",'Mirror for payments'!E51*Load!$F$19)</f>
        <v>203.00100814130667</v>
      </c>
      <c r="F51" s="99">
        <f>IF('Mirror for payments'!F51="","",'Mirror for payments'!F51*Load!$F$19)</f>
        <v>1496.9324437227031</v>
      </c>
      <c r="G51" s="99">
        <f>IF('Mirror for payments'!G51="","",'Mirror for payments'!G51*Load!$F$19)</f>
        <v>0</v>
      </c>
      <c r="H51" s="100">
        <f>IF('Mirror for payments'!H51="","",IF('Mirror for payments'!H51=Languages!$B$84,Languages!$B$84,IF('Mirror for payments'!H51=Languages!$B$82,Languages!$B$82,IF('Mirror for payments'!H51=Languages!$B$83,Languages!$B$83,IF('Mirror for payments'!H51=Languages!$B$87,Languages!$B$87,IF('Mirror for payments'!H51="_____________________","_____________________",'Mirror for payments'!H51*Load!$F$19))))))</f>
        <v>9575.849818530387</v>
      </c>
    </row>
    <row r="52" spans="1:8">
      <c r="A52" s="40">
        <f>IF(E$14&gt;=Dates!A31,Dates!A31,IF(E$14=Dates!A30,Languages!$B$136,""))</f>
        <v>31</v>
      </c>
      <c r="B52" s="39" t="str">
        <f>IF(E$14&gt;=Dates!A31,Dates!B31,"")</f>
        <v>02.07.17</v>
      </c>
      <c r="C52" s="98">
        <f>IF('Mirror for payments'!C52="","",IF('Mirror for payments'!C52=Languages!$B$86,Languages!$B$86,IF('Mirror for payments'!C52=Languages!$B$90,Languages!$B$90,IF('Mirror for payments'!C52=Languages!$B$88,Languages!$B$88,IF('Mirror for payments'!C52=Languages!$B$81,Languages!$B$81,IF('Mirror for payments'!C52="_____________________","_____________________",'Mirror for payments'!C52*Load!$F$19))))))</f>
        <v>9575.849818530387</v>
      </c>
      <c r="D52" s="101">
        <f>IF('Mirror for payments'!D52="","",'Mirror for payments'!D52*Load!$F$19)</f>
        <v>1699.9334518640098</v>
      </c>
      <c r="E52" s="99">
        <f>IF('Mirror for payments'!E52="","",'Mirror for payments'!E52*Load!$F$19)</f>
        <v>175.55724667305708</v>
      </c>
      <c r="F52" s="99">
        <f>IF('Mirror for payments'!F52="","",'Mirror for payments'!F52*Load!$F$19)</f>
        <v>1524.3762051909528</v>
      </c>
      <c r="G52" s="99">
        <f>IF('Mirror for payments'!G52="","",'Mirror for payments'!G52*Load!$F$19)</f>
        <v>0</v>
      </c>
      <c r="H52" s="100">
        <f>IF('Mirror for payments'!H52="","",IF('Mirror for payments'!H52=Languages!$B$84,Languages!$B$84,IF('Mirror for payments'!H52=Languages!$B$82,Languages!$B$82,IF('Mirror for payments'!H52=Languages!$B$83,Languages!$B$83,IF('Mirror for payments'!H52=Languages!$B$87,Languages!$B$87,IF('Mirror for payments'!H52="_____________________","_____________________",'Mirror for payments'!H52*Load!$F$19))))))</f>
        <v>8051.4736133394345</v>
      </c>
    </row>
    <row r="53" spans="1:8">
      <c r="A53" s="40">
        <f>IF(E$14&gt;=Dates!A32,Dates!A32,IF(E$14=Dates!A31,Languages!$B$136,""))</f>
        <v>32</v>
      </c>
      <c r="B53" s="39" t="str">
        <f>IF(E$14&gt;=Dates!A32,Dates!B32,"")</f>
        <v>02.08.17</v>
      </c>
      <c r="C53" s="98">
        <f>IF('Mirror for payments'!C53="","",IF('Mirror for payments'!C53=Languages!$B$86,Languages!$B$86,IF('Mirror for payments'!C53=Languages!$B$90,Languages!$B$90,IF('Mirror for payments'!C53=Languages!$B$88,Languages!$B$88,IF('Mirror for payments'!C53=Languages!$B$81,Languages!$B$81,IF('Mirror for payments'!C53="_____________________","_____________________",'Mirror for payments'!C53*Load!$F$19))))))</f>
        <v>8051.4736133394345</v>
      </c>
      <c r="D53" s="101">
        <f>IF('Mirror for payments'!D53="","",'Mirror for payments'!D53*Load!$F$19)</f>
        <v>1699.9334518640101</v>
      </c>
      <c r="E53" s="99">
        <f>IF('Mirror for payments'!E53="","",'Mirror for payments'!E53*Load!$F$19)</f>
        <v>147.61034957788962</v>
      </c>
      <c r="F53" s="99">
        <f>IF('Mirror for payments'!F53="","",'Mirror for payments'!F53*Load!$F$19)</f>
        <v>1552.3231022861203</v>
      </c>
      <c r="G53" s="99">
        <f>IF('Mirror for payments'!G53="","",'Mirror for payments'!G53*Load!$F$19)</f>
        <v>0</v>
      </c>
      <c r="H53" s="100">
        <f>IF('Mirror for payments'!H53="","",IF('Mirror for payments'!H53=Languages!$B$84,Languages!$B$84,IF('Mirror for payments'!H53=Languages!$B$82,Languages!$B$82,IF('Mirror for payments'!H53=Languages!$B$83,Languages!$B$83,IF('Mirror for payments'!H53=Languages!$B$87,Languages!$B$87,IF('Mirror for payments'!H53="_____________________","_____________________",'Mirror for payments'!H53*Load!$F$19))))))</f>
        <v>6499.1505110533135</v>
      </c>
    </row>
    <row r="54" spans="1:8">
      <c r="A54" s="40">
        <f>IF(E$14&gt;=Dates!A33,Dates!A33,IF(E$14=Dates!A32,Languages!$B$136,""))</f>
        <v>33</v>
      </c>
      <c r="B54" s="39" t="str">
        <f>IF(E$14&gt;=Dates!A33,Dates!B33,"")</f>
        <v>02.09.17</v>
      </c>
      <c r="C54" s="98">
        <f>IF('Mirror for payments'!C54="","",IF('Mirror for payments'!C54=Languages!$B$86,Languages!$B$86,IF('Mirror for payments'!C54=Languages!$B$90,Languages!$B$90,IF('Mirror for payments'!C54=Languages!$B$88,Languages!$B$88,IF('Mirror for payments'!C54=Languages!$B$81,Languages!$B$81,IF('Mirror for payments'!C54="_____________________","_____________________",'Mirror for payments'!C54*Load!$F$19))))))</f>
        <v>6499.1505110533135</v>
      </c>
      <c r="D54" s="101">
        <f>IF('Mirror for payments'!D54="","",'Mirror for payments'!D54*Load!$F$19)</f>
        <v>1699.9334518640098</v>
      </c>
      <c r="E54" s="99">
        <f>IF('Mirror for payments'!E54="","",'Mirror for payments'!E54*Load!$F$19)</f>
        <v>119.15109270264408</v>
      </c>
      <c r="F54" s="99">
        <f>IF('Mirror for payments'!F54="","",'Mirror for payments'!F54*Load!$F$19)</f>
        <v>1580.7823591613658</v>
      </c>
      <c r="G54" s="99">
        <f>IF('Mirror for payments'!G54="","",'Mirror for payments'!G54*Load!$F$19)</f>
        <v>0</v>
      </c>
      <c r="H54" s="100">
        <f>IF('Mirror for payments'!H54="","",IF('Mirror for payments'!H54=Languages!$B$84,Languages!$B$84,IF('Mirror for payments'!H54=Languages!$B$82,Languages!$B$82,IF('Mirror for payments'!H54=Languages!$B$83,Languages!$B$83,IF('Mirror for payments'!H54=Languages!$B$87,Languages!$B$87,IF('Mirror for payments'!H54="_____________________","_____________________",'Mirror for payments'!H54*Load!$F$19))))))</f>
        <v>4918.3681518919484</v>
      </c>
    </row>
    <row r="55" spans="1:8">
      <c r="A55" s="40">
        <f>IF(E$14&gt;=Dates!A34,Dates!A34,IF(E$14=Dates!A33,Languages!$B$136,""))</f>
        <v>34</v>
      </c>
      <c r="B55" s="39" t="str">
        <f>IF(E$14&gt;=Dates!A34,Dates!B34,"")</f>
        <v>02.10.17</v>
      </c>
      <c r="C55" s="98">
        <f>IF('Mirror for payments'!C55="","",IF('Mirror for payments'!C55=Languages!$B$86,Languages!$B$86,IF('Mirror for payments'!C55=Languages!$B$90,Languages!$B$90,IF('Mirror for payments'!C55=Languages!$B$88,Languages!$B$88,IF('Mirror for payments'!C55=Languages!$B$81,Languages!$B$81,IF('Mirror for payments'!C55="_____________________","_____________________",'Mirror for payments'!C55*Load!$F$19))))))</f>
        <v>4918.3681518919484</v>
      </c>
      <c r="D55" s="101">
        <f>IF('Mirror for payments'!D55="","",'Mirror for payments'!D55*Load!$F$19)</f>
        <v>1699.9334518640098</v>
      </c>
      <c r="E55" s="99">
        <f>IF('Mirror for payments'!E55="","",'Mirror for payments'!E55*Load!$F$19)</f>
        <v>90.170082784685718</v>
      </c>
      <c r="F55" s="99">
        <f>IF('Mirror for payments'!F55="","",'Mirror for payments'!F55*Load!$F$19)</f>
        <v>1609.7633690793241</v>
      </c>
      <c r="G55" s="99">
        <f>IF('Mirror for payments'!G55="","",'Mirror for payments'!G55*Load!$F$19)</f>
        <v>0</v>
      </c>
      <c r="H55" s="100">
        <f>IF('Mirror for payments'!H55="","",IF('Mirror for payments'!H55=Languages!$B$84,Languages!$B$84,IF('Mirror for payments'!H55=Languages!$B$82,Languages!$B$82,IF('Mirror for payments'!H55=Languages!$B$83,Languages!$B$83,IF('Mirror for payments'!H55=Languages!$B$87,Languages!$B$87,IF('Mirror for payments'!H55="_____________________","_____________________",'Mirror for payments'!H55*Load!$F$19))))))</f>
        <v>3308.6047828126243</v>
      </c>
    </row>
    <row r="56" spans="1:8">
      <c r="A56" s="40">
        <f>IF(E$14&gt;=Dates!A35,Dates!A35,IF(E$14=Dates!A34,Languages!$B$136,""))</f>
        <v>35</v>
      </c>
      <c r="B56" s="39" t="str">
        <f>IF(E$14&gt;=Dates!A35,Dates!B35,"")</f>
        <v>02.11.17</v>
      </c>
      <c r="C56" s="98">
        <f>IF('Mirror for payments'!C56="","",IF('Mirror for payments'!C56=Languages!$B$86,Languages!$B$86,IF('Mirror for payments'!C56=Languages!$B$90,Languages!$B$90,IF('Mirror for payments'!C56=Languages!$B$88,Languages!$B$88,IF('Mirror for payments'!C56=Languages!$B$81,Languages!$B$81,IF('Mirror for payments'!C56="_____________________","_____________________",'Mirror for payments'!C56*Load!$F$19))))))</f>
        <v>3308.6047828126243</v>
      </c>
      <c r="D56" s="101">
        <f>IF('Mirror for payments'!D56="","",'Mirror for payments'!D56*Load!$F$19)</f>
        <v>1699.9334518640098</v>
      </c>
      <c r="E56" s="99">
        <f>IF('Mirror for payments'!E56="","",'Mirror for payments'!E56*Load!$F$19)</f>
        <v>60.657754351564783</v>
      </c>
      <c r="F56" s="99">
        <f>IF('Mirror for payments'!F56="","",'Mirror for payments'!F56*Load!$F$19)</f>
        <v>1639.275697512445</v>
      </c>
      <c r="G56" s="99">
        <f>IF('Mirror for payments'!G56="","",'Mirror for payments'!G56*Load!$F$19)</f>
        <v>0</v>
      </c>
      <c r="H56" s="100">
        <f>IF('Mirror for payments'!H56="","",IF('Mirror for payments'!H56=Languages!$B$84,Languages!$B$84,IF('Mirror for payments'!H56=Languages!$B$82,Languages!$B$82,IF('Mirror for payments'!H56=Languages!$B$83,Languages!$B$83,IF('Mirror for payments'!H56=Languages!$B$87,Languages!$B$87,IF('Mirror for payments'!H56="_____________________","_____________________",'Mirror for payments'!H56*Load!$F$19))))))</f>
        <v>1669.3290853001793</v>
      </c>
    </row>
    <row r="57" spans="1:8">
      <c r="A57" s="40">
        <f>IF(E$14&gt;=Dates!A36,Dates!A36,IF(E$14=Dates!A35,Languages!$B$136,""))</f>
        <v>36</v>
      </c>
      <c r="B57" s="39" t="str">
        <f>IF(E$14&gt;=Dates!A36,Dates!B36,"")</f>
        <v>02.12.17</v>
      </c>
      <c r="C57" s="98">
        <f>IF('Mirror for payments'!C57="","",IF('Mirror for payments'!C57=Languages!$B$86,Languages!$B$86,IF('Mirror for payments'!C57=Languages!$B$90,Languages!$B$90,IF('Mirror for payments'!C57=Languages!$B$88,Languages!$B$88,IF('Mirror for payments'!C57=Languages!$B$81,Languages!$B$81,IF('Mirror for payments'!C57="_____________________","_____________________",'Mirror for payments'!C57*Load!$F$19))))))</f>
        <v>1669.3290853001793</v>
      </c>
      <c r="D57" s="101">
        <f>IF('Mirror for payments'!D57="","",'Mirror for payments'!D57*Load!$F$19)</f>
        <v>1699.9334518640098</v>
      </c>
      <c r="E57" s="99">
        <f>IF('Mirror for payments'!E57="","",'Mirror for payments'!E57*Load!$F$19)</f>
        <v>30.604366563836624</v>
      </c>
      <c r="F57" s="99">
        <f>IF('Mirror for payments'!F57="","",'Mirror for payments'!F57*Load!$F$19)</f>
        <v>1669.3290853001731</v>
      </c>
      <c r="G57" s="99">
        <f>IF('Mirror for payments'!G57="","",'Mirror for payments'!G57*Load!$F$19)</f>
        <v>0</v>
      </c>
      <c r="H57" s="100">
        <f>IF('Mirror for payments'!H57="","",IF('Mirror for payments'!H57=Languages!$B$84,Languages!$B$84,IF('Mirror for payments'!H57=Languages!$B$82,Languages!$B$82,IF('Mirror for payments'!H57=Languages!$B$83,Languages!$B$83,IF('Mirror for payments'!H57=Languages!$B$87,Languages!$B$87,IF('Mirror for payments'!H57="_____________________","_____________________",'Mirror for payments'!H57*Load!$F$19))))))</f>
        <v>6.0335878515616054E-12</v>
      </c>
    </row>
    <row r="58" spans="1:8">
      <c r="A58" s="40" t="str">
        <f>IF(E$14&gt;=Dates!A37,Dates!A37,IF(E$14=Dates!A36,Languages!$B$136,""))</f>
        <v>Cəmi</v>
      </c>
      <c r="B58" s="39" t="str">
        <f>IF(E$14&gt;=Dates!A37,Dates!B37,"")</f>
        <v/>
      </c>
      <c r="C58" s="98" t="str">
        <f>IF('Mirror for payments'!C58="","",IF('Mirror for payments'!C58=Languages!$B$86,Languages!$B$86,IF('Mirror for payments'!C58=Languages!$B$90,Languages!$B$90,IF('Mirror for payments'!C58=Languages!$B$88,Languages!$B$88,IF('Mirror for payments'!C58=Languages!$B$81,Languages!$B$81,IF('Mirror for payments'!C58="_____________________","_____________________",'Mirror for payments'!C58*Load!$F$19))))))</f>
        <v/>
      </c>
      <c r="D58" s="101">
        <f>IF('Mirror for payments'!D58="","",'Mirror for payments'!D58*Load!$F$19)</f>
        <v>62532.964267104362</v>
      </c>
      <c r="E58" s="99">
        <f>IF('Mirror for payments'!E58="","",'Mirror for payments'!E58*Load!$F$19)</f>
        <v>18020.964267104355</v>
      </c>
      <c r="F58" s="99">
        <f>IF('Mirror for payments'!F58="","",'Mirror for payments'!F58*Load!$F$19)</f>
        <v>44512.000000000007</v>
      </c>
      <c r="G58" s="99">
        <f>IF('Mirror for payments'!G58="","",'Mirror for payments'!G58*Load!$F$19)</f>
        <v>0</v>
      </c>
      <c r="H58" s="100" t="str">
        <f>IF('Mirror for payments'!H58="","",IF('Mirror for payments'!H58=Languages!$B$84,Languages!$B$84,IF('Mirror for payments'!H58=Languages!$B$82,Languages!$B$82,IF('Mirror for payments'!H58=Languages!$B$83,Languages!$B$83,IF('Mirror for payments'!H58=Languages!$B$87,Languages!$B$87,IF('Mirror for payments'!H58="_____________________","_____________________",'Mirror for payments'!H58*Load!$F$19))))))</f>
        <v/>
      </c>
    </row>
    <row r="59" spans="1:8">
      <c r="A59" s="40" t="str">
        <f>IF(E$14&gt;=Dates!A38,Dates!A38,IF(E$14=Dates!A37,Languages!$B$136,""))</f>
        <v/>
      </c>
      <c r="B59" s="39" t="str">
        <f>IF(E$14&gt;=Dates!A38,Dates!B38,"")</f>
        <v/>
      </c>
      <c r="C59" s="98" t="str">
        <f>IF('Mirror for payments'!C59="","",IF('Mirror for payments'!C59=Languages!$B$86,Languages!$B$86,IF('Mirror for payments'!C59=Languages!$B$90,Languages!$B$90,IF('Mirror for payments'!C59=Languages!$B$88,Languages!$B$88,IF('Mirror for payments'!C59=Languages!$B$81,Languages!$B$81,IF('Mirror for payments'!C59="_____________________","_____________________",'Mirror for payments'!C59*Load!$F$19))))))</f>
        <v/>
      </c>
      <c r="D59" s="101" t="str">
        <f>IF('Mirror for payments'!D59="","",'Mirror for payments'!D59*Load!$F$19)</f>
        <v/>
      </c>
      <c r="E59" s="99" t="str">
        <f>IF('Mirror for payments'!E59="","",'Mirror for payments'!E59*Load!$F$19)</f>
        <v/>
      </c>
      <c r="F59" s="99" t="str">
        <f>IF('Mirror for payments'!F59="","",'Mirror for payments'!F59*Load!$F$19)</f>
        <v/>
      </c>
      <c r="G59" s="99" t="str">
        <f>IF('Mirror for payments'!G59="","",'Mirror for payments'!G59*Load!$F$19)</f>
        <v/>
      </c>
      <c r="H59" s="100" t="str">
        <f>IF('Mirror for payments'!H59="","",IF('Mirror for payments'!H59=Languages!$B$84,Languages!$B$84,IF('Mirror for payments'!H59=Languages!$B$82,Languages!$B$82,IF('Mirror for payments'!H59=Languages!$B$83,Languages!$B$83,IF('Mirror for payments'!H59=Languages!$B$87,Languages!$B$87,IF('Mirror for payments'!H59="_____________________","_____________________",'Mirror for payments'!H59*Load!$F$19))))))</f>
        <v/>
      </c>
    </row>
    <row r="60" spans="1:8">
      <c r="A60" s="40" t="str">
        <f>IF(E$14&gt;=Dates!A39,Dates!A39,IF(E$14=Dates!A38,Languages!$B$136,""))</f>
        <v/>
      </c>
      <c r="B60" s="39" t="str">
        <f>IF(E$14&gt;=Dates!A39,Dates!B39,"")</f>
        <v/>
      </c>
      <c r="C60" s="98" t="str">
        <f>IF('Mirror for payments'!C60="","",IF('Mirror for payments'!C60=Languages!$B$86,Languages!$B$86,IF('Mirror for payments'!C60=Languages!$B$90,Languages!$B$90,IF('Mirror for payments'!C60=Languages!$B$88,Languages!$B$88,IF('Mirror for payments'!C60=Languages!$B$81,Languages!$B$81,IF('Mirror for payments'!C60="_____________________","_____________________",'Mirror for payments'!C60*Load!$F$19))))))</f>
        <v>Lizinq verən</v>
      </c>
      <c r="D60" s="101" t="str">
        <f>IF('Mirror for payments'!D60="","",'Mirror for payments'!D60*Load!$F$19)</f>
        <v/>
      </c>
      <c r="E60" s="99" t="str">
        <f>IF('Mirror for payments'!E60="","",'Mirror for payments'!E60*Load!$F$19)</f>
        <v/>
      </c>
      <c r="F60" s="99" t="str">
        <f>IF('Mirror for payments'!F60="","",'Mirror for payments'!F60*Load!$F$19)</f>
        <v/>
      </c>
      <c r="G60" s="99" t="str">
        <f>IF('Mirror for payments'!G60="","",'Mirror for payments'!G60*Load!$F$19)</f>
        <v/>
      </c>
      <c r="H60" s="100" t="str">
        <f>IF('Mirror for payments'!H60="","",IF('Mirror for payments'!H60=Languages!$B$84,Languages!$B$84,IF('Mirror for payments'!H60=Languages!$B$82,Languages!$B$82,IF('Mirror for payments'!H60=Languages!$B$83,Languages!$B$83,IF('Mirror for payments'!H60=Languages!$B$87,Languages!$B$87,IF('Mirror for payments'!H60="_____________________","_____________________",'Mirror for payments'!H60*Load!$F$19))))))</f>
        <v>Lizinq alan</v>
      </c>
    </row>
    <row r="61" spans="1:8">
      <c r="A61" s="40" t="str">
        <f>IF(E$14&gt;=Dates!A40,Dates!A40,IF(E$14=Dates!A39,Languages!$B$136,""))</f>
        <v/>
      </c>
      <c r="B61" s="39" t="str">
        <f>IF(E$14&gt;=Dates!A40,Dates!B40,"")</f>
        <v/>
      </c>
      <c r="C61" s="98" t="str">
        <f>IF('Mirror for payments'!C61="","",IF('Mirror for payments'!C61=Languages!$B$86,Languages!$B$86,IF('Mirror for payments'!C61=Languages!$B$90,Languages!$B$90,IF('Mirror for payments'!C61=Languages!$B$88,Languages!$B$88,IF('Mirror for payments'!C61=Languages!$B$81,Languages!$B$81,IF('Mirror for payments'!C61="_____________________","_____________________",'Mirror for payments'!C61*Load!$F$19))))))</f>
        <v>"AGLizinq" QSC</v>
      </c>
      <c r="D61" s="101" t="str">
        <f>IF('Mirror for payments'!D61="","",'Mirror for payments'!D61*Load!$F$19)</f>
        <v/>
      </c>
      <c r="E61" s="99" t="str">
        <f>IF('Mirror for payments'!E61="","",'Mirror for payments'!E61*Load!$F$19)</f>
        <v/>
      </c>
      <c r="F61" s="99" t="str">
        <f>IF('Mirror for payments'!F61="","",'Mirror for payments'!F61*Load!$F$19)</f>
        <v/>
      </c>
      <c r="G61" s="99" t="str">
        <f>IF('Mirror for payments'!G61="","",'Mirror for payments'!G61*Load!$F$19)</f>
        <v/>
      </c>
      <c r="H61" s="100" t="str">
        <f>IF('Mirror for payments'!H61="","",IF('Mirror for payments'!H61=Languages!$B$84,Languages!$B$84,IF('Mirror for payments'!H61=Languages!$B$82,Languages!$B$82,IF('Mirror for payments'!H61=Languages!$B$83,Languages!$B$83,IF('Mirror for payments'!H61=Languages!$B$87,Languages!$B$87,IF('Mirror for payments'!H61="_____________________","_____________________",'Mirror for payments'!H61*Load!$F$19))))))</f>
        <v/>
      </c>
    </row>
    <row r="62" spans="1:8">
      <c r="A62" s="40" t="str">
        <f>IF(E$14&gt;=Dates!A41,Dates!A41,IF(E$14=Dates!A40,Languages!$B$136,""))</f>
        <v/>
      </c>
      <c r="B62" s="39" t="str">
        <f>IF(E$14&gt;=Dates!A41,Dates!B41,"")</f>
        <v/>
      </c>
      <c r="C62" s="98" t="str">
        <f>IF('Mirror for payments'!C62="","",IF('Mirror for payments'!C62=Languages!$B$86,Languages!$B$86,IF('Mirror for payments'!C62=Languages!$B$90,Languages!$B$90,IF('Mirror for payments'!C62=Languages!$B$88,Languages!$B$88,IF('Mirror for payments'!C62=Languages!$B$81,Languages!$B$81,IF('Mirror for payments'!C62="_____________________","_____________________",'Mirror for payments'!C62*Load!$F$19))))))</f>
        <v/>
      </c>
      <c r="D62" s="101" t="str">
        <f>IF('Mirror for payments'!D62="","",'Mirror for payments'!D62*Load!$F$19)</f>
        <v/>
      </c>
      <c r="E62" s="99" t="str">
        <f>IF('Mirror for payments'!E62="","",'Mirror for payments'!E62*Load!$F$19)</f>
        <v/>
      </c>
      <c r="F62" s="99" t="str">
        <f>IF('Mirror for payments'!F62="","",'Mirror for payments'!F62*Load!$F$19)</f>
        <v/>
      </c>
      <c r="G62" s="99" t="str">
        <f>IF('Mirror for payments'!G62="","",'Mirror for payments'!G62*Load!$F$19)</f>
        <v/>
      </c>
      <c r="H62" s="100" t="str">
        <f>IF('Mirror for payments'!H62="","",IF('Mirror for payments'!H62=Languages!$B$84,Languages!$B$84,IF('Mirror for payments'!H62=Languages!$B$82,Languages!$B$82,IF('Mirror for payments'!H62=Languages!$B$83,Languages!$B$83,IF('Mirror for payments'!H62=Languages!$B$87,Languages!$B$87,IF('Mirror for payments'!H62="_____________________","_____________________",'Mirror for payments'!H62*Load!$F$19))))))</f>
        <v/>
      </c>
    </row>
    <row r="63" spans="1:8">
      <c r="A63" s="40" t="str">
        <f>IF(E$14&gt;=Dates!A42,Dates!A42,IF(E$14=Dates!A41,Languages!$B$136,""))</f>
        <v/>
      </c>
      <c r="B63" s="39" t="str">
        <f>IF(E$14&gt;=Dates!A42,Dates!B42,"")</f>
        <v/>
      </c>
      <c r="C63" s="98" t="str">
        <f>IF('Mirror for payments'!C63="","",IF('Mirror for payments'!C63=Languages!$B$86,Languages!$B$86,IF('Mirror for payments'!C63=Languages!$B$90,Languages!$B$90,IF('Mirror for payments'!C63=Languages!$B$88,Languages!$B$88,IF('Mirror for payments'!C63=Languages!$B$81,Languages!$B$81,IF('Mirror for payments'!C63="_____________________","_____________________",'Mirror for payments'!C63*Load!$F$19))))))</f>
        <v>_____________________</v>
      </c>
      <c r="D63" s="101" t="str">
        <f>IF('Mirror for payments'!D63="","",'Mirror for payments'!D63*Load!$F$19)</f>
        <v/>
      </c>
      <c r="E63" s="99" t="str">
        <f>IF('Mirror for payments'!E63="","",'Mirror for payments'!E63*Load!$F$19)</f>
        <v/>
      </c>
      <c r="F63" s="99" t="str">
        <f>IF('Mirror for payments'!F63="","",'Mirror for payments'!F63*Load!$F$19)</f>
        <v/>
      </c>
      <c r="G63" s="99" t="str">
        <f>IF('Mirror for payments'!G63="","",'Mirror for payments'!G63*Load!$F$19)</f>
        <v/>
      </c>
      <c r="H63" s="100" t="e">
        <f>IF('Mirror for payments'!H63="","",IF('Mirror for payments'!H63=Languages!$B$84,Languages!$B$84,IF('Mirror for payments'!H63=Languages!$B$82,Languages!$B$82,IF('Mirror for payments'!H63=Languages!$B$83,Languages!$B$83,IF('Mirror for payments'!H63=Languages!$B$87,Languages!$B$87,IF('Mirror for payments'!H63="_____________________","_____________________",'Mirror for payments'!H63*Load!$F$19))))))</f>
        <v>#VALUE!</v>
      </c>
    </row>
    <row r="64" spans="1:8">
      <c r="A64" s="40" t="str">
        <f>IF(E$14&gt;=Dates!A43,Dates!A43,IF(E$14=Dates!A42,Languages!$B$136,""))</f>
        <v/>
      </c>
      <c r="B64" s="39" t="str">
        <f>IF(E$14&gt;=Dates!A43,Dates!B43,"")</f>
        <v/>
      </c>
      <c r="C64" s="98" t="str">
        <f>IF('Mirror for payments'!C64="","",IF('Mirror for payments'!C64=Languages!$B$86,Languages!$B$86,IF('Mirror for payments'!C64=Languages!$B$90,Languages!$B$90,IF('Mirror for payments'!C64=Languages!$B$88,Languages!$B$88,IF('Mirror for payments'!C64=Languages!$B$81,Languages!$B$81,IF('Mirror for payments'!C64="_____________________","_____________________",'Mirror for payments'!C64*Load!$F$19))))))</f>
        <v>R.İ.Musayev</v>
      </c>
      <c r="D64" s="101" t="str">
        <f>IF('Mirror for payments'!D64="","",'Mirror for payments'!D64*Load!$F$19)</f>
        <v/>
      </c>
      <c r="E64" s="99" t="str">
        <f>IF('Mirror for payments'!E64="","",'Mirror for payments'!E64*Load!$F$19)</f>
        <v/>
      </c>
      <c r="F64" s="99" t="str">
        <f>IF('Mirror for payments'!F64="","",'Mirror for payments'!F64*Load!$F$19)</f>
        <v/>
      </c>
      <c r="G64" s="99" t="str">
        <f>IF('Mirror for payments'!G64="","",'Mirror for payments'!G64*Load!$F$19)</f>
        <v/>
      </c>
      <c r="H64" s="100" t="str">
        <f>IF('Mirror for payments'!H64="","",IF('Mirror for payments'!H64=Languages!$B$84,Languages!$B$84,IF('Mirror for payments'!H64=Languages!$B$82,Languages!$B$82,IF('Mirror for payments'!H64=Languages!$B$83,Languages!$B$83,IF('Mirror for payments'!H64=Languages!$B$87,Languages!$B$87,IF('Mirror for payments'!H64="_____________________","_____________________",'Mirror for payments'!H64*Load!$F$19))))))</f>
        <v>S.H.Rəsulov</v>
      </c>
    </row>
    <row r="65" spans="1:8">
      <c r="A65" s="40" t="str">
        <f>IF(E$14&gt;=Dates!A44,Dates!A44,IF(E$14=Dates!A43,Languages!$B$136,""))</f>
        <v/>
      </c>
      <c r="B65" s="39" t="str">
        <f>IF(E$14&gt;=Dates!A44,Dates!B44,"")</f>
        <v/>
      </c>
      <c r="C65" s="98" t="str">
        <f>IF('Mirror for payments'!C65="","",IF('Mirror for payments'!C65=Languages!$B$86,Languages!$B$86,IF('Mirror for payments'!C65=Languages!$B$90,Languages!$B$90,IF('Mirror for payments'!C65=Languages!$B$88,Languages!$B$88,IF('Mirror for payments'!C65=Languages!$B$81,Languages!$B$81,IF('Mirror for payments'!C65="_____________________","_____________________",'Mirror for payments'!C65*Load!$F$19))))))</f>
        <v>M.Y.</v>
      </c>
      <c r="D65" s="101" t="str">
        <f>IF('Mirror for payments'!D65="","",'Mirror for payments'!D65*Load!$F$19)</f>
        <v/>
      </c>
      <c r="E65" s="99" t="str">
        <f>IF('Mirror for payments'!E65="","",'Mirror for payments'!E65*Load!$F$19)</f>
        <v/>
      </c>
      <c r="F65" s="99" t="str">
        <f>IF('Mirror for payments'!F65="","",'Mirror for payments'!F65*Load!$F$19)</f>
        <v/>
      </c>
      <c r="G65" s="99" t="str">
        <f>IF('Mirror for payments'!G65="","",'Mirror for payments'!G65*Load!$F$19)</f>
        <v/>
      </c>
      <c r="H65" s="100" t="str">
        <f>IF('Mirror for payments'!H65="","",IF('Mirror for payments'!H65=Languages!$B$84,Languages!$B$84,IF('Mirror for payments'!H65=Languages!$B$82,Languages!$B$82,IF('Mirror for payments'!H65=Languages!$B$83,Languages!$B$83,IF('Mirror for payments'!H65=Languages!$B$87,Languages!$B$87,IF('Mirror for payments'!H65="_____________________","_____________________",'Mirror for payments'!H65*Load!$F$19))))))</f>
        <v/>
      </c>
    </row>
    <row r="66" spans="1:8">
      <c r="A66" s="40" t="str">
        <f>IF(E$14&gt;=Dates!A45,Dates!A45,IF(E$14=Dates!A44,Languages!$B$136,""))</f>
        <v/>
      </c>
      <c r="B66" s="39" t="str">
        <f>IF(E$14&gt;=Dates!A45,Dates!B45,"")</f>
        <v/>
      </c>
      <c r="C66" s="98" t="str">
        <f>IF('Mirror for payments'!C66="","",IF('Mirror for payments'!C66=Languages!$B$86,Languages!$B$86,IF('Mirror for payments'!C66=Languages!$B$90,Languages!$B$90,IF('Mirror for payments'!C66=Languages!$B$88,Languages!$B$88,IF('Mirror for payments'!C66=Languages!$B$81,Languages!$B$81,IF('Mirror for payments'!C66="_____________________","_____________________",'Mirror for payments'!C66*Load!$F$19))))))</f>
        <v/>
      </c>
      <c r="D66" s="101" t="str">
        <f>IF('Mirror for payments'!D66="","",'Mirror for payments'!D66*Load!$F$19)</f>
        <v/>
      </c>
      <c r="E66" s="99" t="str">
        <f>IF('Mirror for payments'!E66="","",'Mirror for payments'!E66*Load!$F$19)</f>
        <v/>
      </c>
      <c r="F66" s="99" t="str">
        <f>IF('Mirror for payments'!F66="","",'Mirror for payments'!F66*Load!$F$19)</f>
        <v/>
      </c>
      <c r="G66" s="99" t="str">
        <f>IF('Mirror for payments'!G66="","",'Mirror for payments'!G66*Load!$F$19)</f>
        <v/>
      </c>
      <c r="H66" s="100" t="str">
        <f>IF('Mirror for payments'!H66="","",IF('Mirror for payments'!H66=Languages!$B$84,Languages!$B$84,IF('Mirror for payments'!H66=Languages!$B$82,Languages!$B$82,IF('Mirror for payments'!H66=Languages!$B$83,Languages!$B$83,IF('Mirror for payments'!H66=Languages!$B$87,Languages!$B$87,IF('Mirror for payments'!H66="_____________________","_____________________",'Mirror for payments'!H66*Load!$F$19))))))</f>
        <v/>
      </c>
    </row>
    <row r="67" spans="1:8">
      <c r="A67" s="40" t="str">
        <f>IF(E$14&gt;=Dates!A46,Dates!A46,IF(E$14=Dates!A45,Languages!$B$136,""))</f>
        <v/>
      </c>
      <c r="B67" s="39" t="str">
        <f>IF(E$14&gt;=Dates!A46,Dates!B46,"")</f>
        <v/>
      </c>
      <c r="C67" s="98" t="str">
        <f>IF('Mirror for payments'!C67="","",IF('Mirror for payments'!C67=Languages!$B$86,Languages!$B$86,IF('Mirror for payments'!C67=Languages!$B$90,Languages!$B$90,IF('Mirror for payments'!C67=Languages!$B$88,Languages!$B$88,IF('Mirror for payments'!C67=Languages!$B$81,Languages!$B$81,IF('Mirror for payments'!C67="_____________________","_____________________",'Mirror for payments'!C67*Load!$F$19))))))</f>
        <v/>
      </c>
      <c r="D67" s="101" t="str">
        <f>IF('Mirror for payments'!D67="","",'Mirror for payments'!D67*Load!$F$19)</f>
        <v/>
      </c>
      <c r="E67" s="99" t="str">
        <f>IF('Mirror for payments'!E67="","",'Mirror for payments'!E67*Load!$F$19)</f>
        <v/>
      </c>
      <c r="F67" s="99" t="str">
        <f>IF('Mirror for payments'!F67="","",'Mirror for payments'!F67*Load!$F$19)</f>
        <v/>
      </c>
      <c r="G67" s="99" t="str">
        <f>IF('Mirror for payments'!G67="","",'Mirror for payments'!G67*Load!$F$19)</f>
        <v/>
      </c>
      <c r="H67" s="100" t="str">
        <f>IF('Mirror for payments'!H67="","",IF('Mirror for payments'!H67=Languages!$B$84,Languages!$B$84,IF('Mirror for payments'!H67=Languages!$B$82,Languages!$B$82,IF('Mirror for payments'!H67=Languages!$B$83,Languages!$B$83,IF('Mirror for payments'!H67=Languages!$B$87,Languages!$B$87,IF('Mirror for payments'!H67="_____________________","_____________________",'Mirror for payments'!H67*Load!$F$19))))))</f>
        <v/>
      </c>
    </row>
    <row r="68" spans="1:8">
      <c r="A68" s="40" t="str">
        <f>IF(E$14&gt;=Dates!A47,Dates!A47,IF(E$14=Dates!A46,Languages!$B$136,""))</f>
        <v/>
      </c>
      <c r="B68" s="39" t="str">
        <f>IF(E$14&gt;=Dates!A47,Dates!B47,"")</f>
        <v/>
      </c>
      <c r="C68" s="98" t="str">
        <f>IF('Mirror for payments'!C68="","",IF('Mirror for payments'!C68=Languages!$B$86,Languages!$B$86,IF('Mirror for payments'!C68=Languages!$B$90,Languages!$B$90,IF('Mirror for payments'!C68=Languages!$B$88,Languages!$B$88,IF('Mirror for payments'!C68=Languages!$B$81,Languages!$B$81,IF('Mirror for payments'!C68="_____________________","_____________________",'Mirror for payments'!C68*Load!$F$19))))))</f>
        <v/>
      </c>
      <c r="D68" s="101" t="str">
        <f>IF('Mirror for payments'!D68="","",'Mirror for payments'!D68*Load!$F$19)</f>
        <v/>
      </c>
      <c r="E68" s="99" t="str">
        <f>IF('Mirror for payments'!E68="","",'Mirror for payments'!E68*Load!$F$19)</f>
        <v/>
      </c>
      <c r="F68" s="99" t="str">
        <f>IF('Mirror for payments'!F68="","",'Mirror for payments'!F68*Load!$F$19)</f>
        <v/>
      </c>
      <c r="G68" s="99" t="str">
        <f>IF('Mirror for payments'!G68="","",'Mirror for payments'!G68*Load!$F$19)</f>
        <v/>
      </c>
      <c r="H68" s="100" t="str">
        <f>IF('Mirror for payments'!H68="","",IF('Mirror for payments'!H68=Languages!$B$84,Languages!$B$84,IF('Mirror for payments'!H68=Languages!$B$82,Languages!$B$82,IF('Mirror for payments'!H68=Languages!$B$83,Languages!$B$83,IF('Mirror for payments'!H68=Languages!$B$87,Languages!$B$87,IF('Mirror for payments'!H68="_____________________","_____________________",'Mirror for payments'!H68*Load!$F$19))))))</f>
        <v/>
      </c>
    </row>
    <row r="69" spans="1:8">
      <c r="A69" s="40" t="str">
        <f>IF(E$14&gt;=Dates!A48,Dates!A48,IF(E$14=Dates!A47,Languages!$B$136,""))</f>
        <v/>
      </c>
      <c r="B69" s="39" t="str">
        <f>IF(E$14&gt;=Dates!A48,Dates!B48,"")</f>
        <v/>
      </c>
      <c r="C69" s="98" t="str">
        <f>IF('Mirror for payments'!C69="","",IF('Mirror for payments'!C69=Languages!$B$86,Languages!$B$86,IF('Mirror for payments'!C69=Languages!$B$90,Languages!$B$90,IF('Mirror for payments'!C69=Languages!$B$88,Languages!$B$88,IF('Mirror for payments'!C69=Languages!$B$81,Languages!$B$81,IF('Mirror for payments'!C69="_____________________","_____________________",'Mirror for payments'!C69*Load!$F$19))))))</f>
        <v/>
      </c>
      <c r="D69" s="101" t="str">
        <f>IF('Mirror for payments'!D69="","",'Mirror for payments'!D69*Load!$F$19)</f>
        <v/>
      </c>
      <c r="E69" s="99" t="str">
        <f>IF('Mirror for payments'!E69="","",'Mirror for payments'!E69*Load!$F$19)</f>
        <v/>
      </c>
      <c r="F69" s="99" t="str">
        <f>IF('Mirror for payments'!F69="","",'Mirror for payments'!F69*Load!$F$19)</f>
        <v/>
      </c>
      <c r="G69" s="99" t="str">
        <f>IF('Mirror for payments'!G69="","",'Mirror for payments'!G69*Load!$F$19)</f>
        <v/>
      </c>
      <c r="H69" s="100" t="str">
        <f>IF('Mirror for payments'!H69="","",IF('Mirror for payments'!H69=Languages!$B$84,Languages!$B$84,IF('Mirror for payments'!H69=Languages!$B$82,Languages!$B$82,IF('Mirror for payments'!H69=Languages!$B$83,Languages!$B$83,IF('Mirror for payments'!H69=Languages!$B$87,Languages!$B$87,IF('Mirror for payments'!H69="_____________________","_____________________",'Mirror for payments'!H69*Load!$F$19))))))</f>
        <v/>
      </c>
    </row>
    <row r="70" spans="1:8">
      <c r="A70" s="40" t="str">
        <f>IF(E$14&gt;=Dates!A49,Dates!A49,IF(E$14=Dates!A48,Languages!$B$136,""))</f>
        <v/>
      </c>
      <c r="B70" s="39" t="str">
        <f>IF(E$14&gt;=Dates!A49,Dates!B49,"")</f>
        <v/>
      </c>
      <c r="C70" s="98" t="str">
        <f>IF('Mirror for payments'!C70="","",IF('Mirror for payments'!C70=Languages!$B$86,Languages!$B$86,IF('Mirror for payments'!C70=Languages!$B$90,Languages!$B$90,IF('Mirror for payments'!C70=Languages!$B$88,Languages!$B$88,IF('Mirror for payments'!C70=Languages!$B$81,Languages!$B$81,IF('Mirror for payments'!C70="_____________________","_____________________",'Mirror for payments'!C70*Load!$F$19))))))</f>
        <v/>
      </c>
      <c r="D70" s="101" t="str">
        <f>IF('Mirror for payments'!D70="","",'Mirror for payments'!D70*Load!$F$19)</f>
        <v/>
      </c>
      <c r="E70" s="99" t="str">
        <f>IF('Mirror for payments'!E70="","",'Mirror for payments'!E70*Load!$F$19)</f>
        <v/>
      </c>
      <c r="F70" s="99" t="str">
        <f>IF('Mirror for payments'!F70="","",'Mirror for payments'!F70*Load!$F$19)</f>
        <v/>
      </c>
      <c r="G70" s="99" t="str">
        <f>IF('Mirror for payments'!G70="","",'Mirror for payments'!G70*Load!$F$19)</f>
        <v/>
      </c>
      <c r="H70" s="100" t="str">
        <f>IF('Mirror for payments'!H70="","",IF('Mirror for payments'!H70=Languages!$B$84,Languages!$B$84,IF('Mirror for payments'!H70=Languages!$B$82,Languages!$B$82,IF('Mirror for payments'!H70=Languages!$B$83,Languages!$B$83,IF('Mirror for payments'!H70=Languages!$B$87,Languages!$B$87,IF('Mirror for payments'!H70="_____________________","_____________________",'Mirror for payments'!H70*Load!$F$19))))))</f>
        <v/>
      </c>
    </row>
    <row r="71" spans="1:8">
      <c r="A71" s="40" t="str">
        <f>IF(E$14&gt;=Dates!A50,Dates!A50,IF(E$14=Dates!A49,Languages!$B$136,""))</f>
        <v/>
      </c>
      <c r="B71" s="39" t="str">
        <f>IF(E$14&gt;=Dates!A50,Dates!B50,"")</f>
        <v/>
      </c>
      <c r="C71" s="98" t="str">
        <f>IF('Mirror for payments'!C71="","",IF('Mirror for payments'!C71=Languages!$B$86,Languages!$B$86,IF('Mirror for payments'!C71=Languages!$B$90,Languages!$B$90,IF('Mirror for payments'!C71=Languages!$B$88,Languages!$B$88,IF('Mirror for payments'!C71=Languages!$B$81,Languages!$B$81,IF('Mirror for payments'!C71="_____________________","_____________________",'Mirror for payments'!C71*Load!$F$19))))))</f>
        <v/>
      </c>
      <c r="D71" s="101" t="str">
        <f>IF('Mirror for payments'!D71="","",'Mirror for payments'!D71*Load!$F$19)</f>
        <v/>
      </c>
      <c r="E71" s="99" t="str">
        <f>IF('Mirror for payments'!E71="","",'Mirror for payments'!E71*Load!$F$19)</f>
        <v/>
      </c>
      <c r="F71" s="99" t="str">
        <f>IF('Mirror for payments'!F71="","",'Mirror for payments'!F71*Load!$F$19)</f>
        <v/>
      </c>
      <c r="G71" s="99" t="str">
        <f>IF('Mirror for payments'!G71="","",'Mirror for payments'!G71*Load!$F$19)</f>
        <v/>
      </c>
      <c r="H71" s="100" t="str">
        <f>IF('Mirror for payments'!H71="","",IF('Mirror for payments'!H71=Languages!$B$84,Languages!$B$84,IF('Mirror for payments'!H71=Languages!$B$82,Languages!$B$82,IF('Mirror for payments'!H71=Languages!$B$83,Languages!$B$83,IF('Mirror for payments'!H71=Languages!$B$87,Languages!$B$87,IF('Mirror for payments'!H71="_____________________","_____________________",'Mirror for payments'!H71*Load!$F$19))))))</f>
        <v/>
      </c>
    </row>
    <row r="72" spans="1:8">
      <c r="A72" s="40" t="str">
        <f>IF(E$14&gt;=Dates!A51,Dates!A51,IF(E$14=Dates!A50,Languages!$B$136,""))</f>
        <v/>
      </c>
      <c r="B72" s="39" t="str">
        <f>IF(E$14&gt;=Dates!A51,Dates!B51,"")</f>
        <v/>
      </c>
      <c r="C72" s="98" t="str">
        <f>IF('Mirror for payments'!C72="","",IF('Mirror for payments'!C72=Languages!$B$86,Languages!$B$86,IF('Mirror for payments'!C72=Languages!$B$90,Languages!$B$90,IF('Mirror for payments'!C72=Languages!$B$88,Languages!$B$88,IF('Mirror for payments'!C72=Languages!$B$81,Languages!$B$81,IF('Mirror for payments'!C72="_____________________","_____________________",'Mirror for payments'!C72*Load!$F$19))))))</f>
        <v/>
      </c>
      <c r="D72" s="101" t="str">
        <f>IF('Mirror for payments'!D72="","",'Mirror for payments'!D72*Load!$F$19)</f>
        <v/>
      </c>
      <c r="E72" s="99" t="str">
        <f>IF('Mirror for payments'!E72="","",'Mirror for payments'!E72*Load!$F$19)</f>
        <v/>
      </c>
      <c r="F72" s="99" t="str">
        <f>IF('Mirror for payments'!F72="","",'Mirror for payments'!F72*Load!$F$19)</f>
        <v/>
      </c>
      <c r="G72" s="99" t="str">
        <f>IF('Mirror for payments'!G72="","",'Mirror for payments'!G72*Load!$F$19)</f>
        <v/>
      </c>
      <c r="H72" s="100" t="str">
        <f>IF('Mirror for payments'!H72="","",IF('Mirror for payments'!H72=Languages!$B$84,Languages!$B$84,IF('Mirror for payments'!H72=Languages!$B$82,Languages!$B$82,IF('Mirror for payments'!H72=Languages!$B$83,Languages!$B$83,IF('Mirror for payments'!H72=Languages!$B$87,Languages!$B$87,IF('Mirror for payments'!H72="_____________________","_____________________",'Mirror for payments'!H72*Load!$F$19))))))</f>
        <v/>
      </c>
    </row>
    <row r="73" spans="1:8">
      <c r="A73" s="40" t="str">
        <f>IF(E$14&gt;=Dates!A52,Dates!A52,IF(E$14=Dates!A51,Languages!$B$136,""))</f>
        <v/>
      </c>
      <c r="B73" s="39" t="str">
        <f>IF(E$14&gt;=Dates!A52,Dates!B52,"")</f>
        <v/>
      </c>
      <c r="C73" s="98" t="str">
        <f>IF('Mirror for payments'!C73="","",IF('Mirror for payments'!C73=Languages!$B$86,Languages!$B$86,IF('Mirror for payments'!C73=Languages!$B$90,Languages!$B$90,IF('Mirror for payments'!C73=Languages!$B$88,Languages!$B$88,IF('Mirror for payments'!C73=Languages!$B$81,Languages!$B$81,IF('Mirror for payments'!C73="_____________________","_____________________",'Mirror for payments'!C73*Load!$F$19))))))</f>
        <v/>
      </c>
      <c r="D73" s="101" t="str">
        <f>IF('Mirror for payments'!D73="","",'Mirror for payments'!D73*Load!$F$19)</f>
        <v/>
      </c>
      <c r="E73" s="99" t="str">
        <f>IF('Mirror for payments'!E73="","",'Mirror for payments'!E73*Load!$F$19)</f>
        <v/>
      </c>
      <c r="F73" s="99" t="str">
        <f>IF('Mirror for payments'!F73="","",'Mirror for payments'!F73*Load!$F$19)</f>
        <v/>
      </c>
      <c r="G73" s="99" t="str">
        <f>IF('Mirror for payments'!G73="","",'Mirror for payments'!G73*Load!$F$19)</f>
        <v/>
      </c>
      <c r="H73" s="100" t="str">
        <f>IF('Mirror for payments'!H73="","",IF('Mirror for payments'!H73=Languages!$B$84,Languages!$B$84,IF('Mirror for payments'!H73=Languages!$B$82,Languages!$B$82,IF('Mirror for payments'!H73=Languages!$B$83,Languages!$B$83,IF('Mirror for payments'!H73=Languages!$B$87,Languages!$B$87,IF('Mirror for payments'!H73="_____________________","_____________________",'Mirror for payments'!H73*Load!$F$19))))))</f>
        <v/>
      </c>
    </row>
    <row r="74" spans="1:8">
      <c r="A74" s="40" t="str">
        <f>IF(E$14&gt;=Dates!A53,Dates!A53,IF(E$14=Dates!A52,Languages!$B$136,""))</f>
        <v/>
      </c>
      <c r="B74" s="39" t="str">
        <f>IF(E$14&gt;=Dates!A53,Dates!B53,"")</f>
        <v/>
      </c>
      <c r="C74" s="98" t="str">
        <f>IF('Mirror for payments'!C74="","",IF('Mirror for payments'!C74=Languages!$B$86,Languages!$B$86,IF('Mirror for payments'!C74=Languages!$B$90,Languages!$B$90,IF('Mirror for payments'!C74=Languages!$B$88,Languages!$B$88,IF('Mirror for payments'!C74=Languages!$B$81,Languages!$B$81,IF('Mirror for payments'!C74="_____________________","_____________________",'Mirror for payments'!C74*Load!$F$19))))))</f>
        <v/>
      </c>
      <c r="D74" s="101" t="str">
        <f>IF('Mirror for payments'!D74="","",'Mirror for payments'!D74*Load!$F$19)</f>
        <v/>
      </c>
      <c r="E74" s="99" t="str">
        <f>IF('Mirror for payments'!E74="","",'Mirror for payments'!E74*Load!$F$19)</f>
        <v/>
      </c>
      <c r="F74" s="99" t="str">
        <f>IF('Mirror for payments'!F74="","",'Mirror for payments'!F74*Load!$F$19)</f>
        <v/>
      </c>
      <c r="G74" s="99" t="str">
        <f>IF('Mirror for payments'!G74="","",'Mirror for payments'!G74*Load!$F$19)</f>
        <v/>
      </c>
      <c r="H74" s="100" t="str">
        <f>IF('Mirror for payments'!H74="","",IF('Mirror for payments'!H74=Languages!$B$84,Languages!$B$84,IF('Mirror for payments'!H74=Languages!$B$82,Languages!$B$82,IF('Mirror for payments'!H74=Languages!$B$83,Languages!$B$83,IF('Mirror for payments'!H74=Languages!$B$87,Languages!$B$87,IF('Mirror for payments'!H74="_____________________","_____________________",'Mirror for payments'!H74*Load!$F$19))))))</f>
        <v/>
      </c>
    </row>
    <row r="75" spans="1:8">
      <c r="A75" s="40" t="str">
        <f>IF(E$14&gt;=Dates!A54,Dates!A54,IF(E$14=Dates!A53,Languages!$B$136,""))</f>
        <v/>
      </c>
      <c r="B75" s="39" t="str">
        <f>IF(E$14&gt;=Dates!A54,Dates!B54,"")</f>
        <v/>
      </c>
      <c r="C75" s="98" t="str">
        <f>IF('Mirror for payments'!C75="","",IF('Mirror for payments'!C75=Languages!$B$86,Languages!$B$86,IF('Mirror for payments'!C75=Languages!$B$90,Languages!$B$90,IF('Mirror for payments'!C75=Languages!$B$88,Languages!$B$88,IF('Mirror for payments'!C75=Languages!$B$81,Languages!$B$81,IF('Mirror for payments'!C75="_____________________","_____________________",'Mirror for payments'!C75*Load!$F$19))))))</f>
        <v/>
      </c>
      <c r="D75" s="101" t="str">
        <f>IF('Mirror for payments'!D75="","",'Mirror for payments'!D75*Load!$F$19)</f>
        <v/>
      </c>
      <c r="E75" s="99" t="str">
        <f>IF('Mirror for payments'!E75="","",'Mirror for payments'!E75*Load!$F$19)</f>
        <v/>
      </c>
      <c r="F75" s="99" t="str">
        <f>IF('Mirror for payments'!F75="","",'Mirror for payments'!F75*Load!$F$19)</f>
        <v/>
      </c>
      <c r="G75" s="99" t="str">
        <f>IF('Mirror for payments'!G75="","",'Mirror for payments'!G75*Load!$F$19)</f>
        <v/>
      </c>
      <c r="H75" s="100" t="str">
        <f>IF('Mirror for payments'!H75="","",IF('Mirror for payments'!H75=Languages!$B$84,Languages!$B$84,IF('Mirror for payments'!H75=Languages!$B$82,Languages!$B$82,IF('Mirror for payments'!H75=Languages!$B$83,Languages!$B$83,IF('Mirror for payments'!H75=Languages!$B$87,Languages!$B$87,IF('Mirror for payments'!H75="_____________________","_____________________",'Mirror for payments'!H75*Load!$F$19))))))</f>
        <v/>
      </c>
    </row>
    <row r="76" spans="1:8">
      <c r="A76" s="40" t="str">
        <f>IF(E$14&gt;=Dates!A55,Dates!A55,IF(E$14=Dates!A54,Languages!$B$136,""))</f>
        <v/>
      </c>
      <c r="B76" s="39" t="str">
        <f>IF(E$14&gt;=Dates!A55,Dates!B55,"")</f>
        <v/>
      </c>
      <c r="C76" s="98" t="str">
        <f>IF('Mirror for payments'!C76="","",IF('Mirror for payments'!C76=Languages!$B$86,Languages!$B$86,IF('Mirror for payments'!C76=Languages!$B$90,Languages!$B$90,IF('Mirror for payments'!C76=Languages!$B$88,Languages!$B$88,IF('Mirror for payments'!C76=Languages!$B$81,Languages!$B$81,IF('Mirror for payments'!C76="_____________________","_____________________",'Mirror for payments'!C76*Load!$F$19))))))</f>
        <v/>
      </c>
      <c r="D76" s="101" t="str">
        <f>IF('Mirror for payments'!D76="","",'Mirror for payments'!D76*Load!$F$19)</f>
        <v/>
      </c>
      <c r="E76" s="99" t="str">
        <f>IF('Mirror for payments'!E76="","",'Mirror for payments'!E76*Load!$F$19)</f>
        <v/>
      </c>
      <c r="F76" s="99" t="str">
        <f>IF('Mirror for payments'!F76="","",'Mirror for payments'!F76*Load!$F$19)</f>
        <v/>
      </c>
      <c r="G76" s="99" t="str">
        <f>IF('Mirror for payments'!G76="","",'Mirror for payments'!G76*Load!$F$19)</f>
        <v/>
      </c>
      <c r="H76" s="100" t="str">
        <f>IF('Mirror for payments'!H76="","",IF('Mirror for payments'!H76=Languages!$B$84,Languages!$B$84,IF('Mirror for payments'!H76=Languages!$B$82,Languages!$B$82,IF('Mirror for payments'!H76=Languages!$B$83,Languages!$B$83,IF('Mirror for payments'!H76=Languages!$B$87,Languages!$B$87,IF('Mirror for payments'!H76="_____________________","_____________________",'Mirror for payments'!H76*Load!$F$19))))))</f>
        <v/>
      </c>
    </row>
    <row r="77" spans="1:8">
      <c r="A77" s="40" t="str">
        <f>IF(E$14&gt;=Dates!A56,Dates!A56,IF(E$14=Dates!A55,Languages!$B$136,""))</f>
        <v/>
      </c>
      <c r="B77" s="39" t="str">
        <f>IF(E$14&gt;=Dates!A56,Dates!B56,"")</f>
        <v/>
      </c>
      <c r="C77" s="98" t="str">
        <f>IF('Mirror for payments'!C77="","",IF('Mirror for payments'!C77=Languages!$B$86,Languages!$B$86,IF('Mirror for payments'!C77=Languages!$B$90,Languages!$B$90,IF('Mirror for payments'!C77=Languages!$B$88,Languages!$B$88,IF('Mirror for payments'!C77=Languages!$B$81,Languages!$B$81,IF('Mirror for payments'!C77="_____________________","_____________________",'Mirror for payments'!C77*Load!$F$19))))))</f>
        <v/>
      </c>
      <c r="D77" s="101" t="str">
        <f>IF('Mirror for payments'!D77="","",'Mirror for payments'!D77*Load!$F$19)</f>
        <v/>
      </c>
      <c r="E77" s="99" t="str">
        <f>IF('Mirror for payments'!E77="","",'Mirror for payments'!E77*Load!$F$19)</f>
        <v/>
      </c>
      <c r="F77" s="99" t="str">
        <f>IF('Mirror for payments'!F77="","",'Mirror for payments'!F77*Load!$F$19)</f>
        <v/>
      </c>
      <c r="G77" s="99" t="str">
        <f>IF('Mirror for payments'!G77="","",'Mirror for payments'!G77*Load!$F$19)</f>
        <v/>
      </c>
      <c r="H77" s="100" t="str">
        <f>IF('Mirror for payments'!H77="","",IF('Mirror for payments'!H77=Languages!$B$84,Languages!$B$84,IF('Mirror for payments'!H77=Languages!$B$82,Languages!$B$82,IF('Mirror for payments'!H77=Languages!$B$83,Languages!$B$83,IF('Mirror for payments'!H77=Languages!$B$87,Languages!$B$87,IF('Mirror for payments'!H77="_____________________","_____________________",'Mirror for payments'!H77*Load!$F$19))))))</f>
        <v/>
      </c>
    </row>
    <row r="78" spans="1:8">
      <c r="A78" s="40" t="str">
        <f>IF(E$14&gt;=Dates!A57,Dates!A57,IF(E$14=Dates!A56,Languages!$B$136,""))</f>
        <v/>
      </c>
      <c r="B78" s="39" t="str">
        <f>IF(E$14&gt;=Dates!A57,Dates!B57,"")</f>
        <v/>
      </c>
      <c r="C78" s="98" t="str">
        <f>IF('Mirror for payments'!C78="","",IF('Mirror for payments'!C78=Languages!$B$86,Languages!$B$86,IF('Mirror for payments'!C78=Languages!$B$90,Languages!$B$90,IF('Mirror for payments'!C78=Languages!$B$88,Languages!$B$88,IF('Mirror for payments'!C78=Languages!$B$81,Languages!$B$81,IF('Mirror for payments'!C78="_____________________","_____________________",'Mirror for payments'!C78*Load!$F$19))))))</f>
        <v/>
      </c>
      <c r="D78" s="101" t="str">
        <f>IF('Mirror for payments'!D78="","",'Mirror for payments'!D78*Load!$F$19)</f>
        <v/>
      </c>
      <c r="E78" s="99" t="str">
        <f>IF('Mirror for payments'!E78="","",'Mirror for payments'!E78*Load!$F$19)</f>
        <v/>
      </c>
      <c r="F78" s="99" t="str">
        <f>IF('Mirror for payments'!F78="","",'Mirror for payments'!F78*Load!$F$19)</f>
        <v/>
      </c>
      <c r="G78" s="99" t="str">
        <f>IF('Mirror for payments'!G78="","",'Mirror for payments'!G78*Load!$F$19)</f>
        <v/>
      </c>
      <c r="H78" s="100" t="str">
        <f>IF('Mirror for payments'!H78="","",IF('Mirror for payments'!H78=Languages!$B$84,Languages!$B$84,IF('Mirror for payments'!H78=Languages!$B$82,Languages!$B$82,IF('Mirror for payments'!H78=Languages!$B$83,Languages!$B$83,IF('Mirror for payments'!H78=Languages!$B$87,Languages!$B$87,IF('Mirror for payments'!H78="_____________________","_____________________",'Mirror for payments'!H78*Load!$F$19))))))</f>
        <v/>
      </c>
    </row>
    <row r="79" spans="1:8">
      <c r="A79" s="40" t="str">
        <f>IF(E$14&gt;=Dates!A58,Dates!A58,IF(E$14=Dates!A57,Languages!$B$136,""))</f>
        <v/>
      </c>
      <c r="B79" s="39" t="str">
        <f>IF(E$14&gt;=Dates!A58,Dates!B58,"")</f>
        <v/>
      </c>
      <c r="C79" s="98" t="str">
        <f>IF('Mirror for payments'!C79="","",IF('Mirror for payments'!C79=Languages!$B$86,Languages!$B$86,IF('Mirror for payments'!C79=Languages!$B$90,Languages!$B$90,IF('Mirror for payments'!C79=Languages!$B$88,Languages!$B$88,IF('Mirror for payments'!C79=Languages!$B$81,Languages!$B$81,IF('Mirror for payments'!C79="_____________________","_____________________",'Mirror for payments'!C79*Load!$F$19))))))</f>
        <v/>
      </c>
      <c r="D79" s="101" t="str">
        <f>IF('Mirror for payments'!D79="","",'Mirror for payments'!D79*Load!$F$19)</f>
        <v/>
      </c>
      <c r="E79" s="99" t="str">
        <f>IF('Mirror for payments'!E79="","",'Mirror for payments'!E79*Load!$F$19)</f>
        <v/>
      </c>
      <c r="F79" s="99" t="str">
        <f>IF('Mirror for payments'!F79="","",'Mirror for payments'!F79*Load!$F$19)</f>
        <v/>
      </c>
      <c r="G79" s="99" t="str">
        <f>IF('Mirror for payments'!G79="","",'Mirror for payments'!G79*Load!$F$19)</f>
        <v/>
      </c>
      <c r="H79" s="100" t="str">
        <f>IF('Mirror for payments'!H79="","",IF('Mirror for payments'!H79=Languages!$B$84,Languages!$B$84,IF('Mirror for payments'!H79=Languages!$B$82,Languages!$B$82,IF('Mirror for payments'!H79=Languages!$B$83,Languages!$B$83,IF('Mirror for payments'!H79=Languages!$B$87,Languages!$B$87,IF('Mirror for payments'!H79="_____________________","_____________________",'Mirror for payments'!H79*Load!$F$19))))))</f>
        <v/>
      </c>
    </row>
    <row r="80" spans="1:8">
      <c r="A80" s="40" t="str">
        <f>IF(E$14&gt;=Dates!A59,Dates!A59,IF(E$14=Dates!A58,Languages!$B$136,""))</f>
        <v/>
      </c>
      <c r="B80" s="39" t="str">
        <f>IF(E$14&gt;=Dates!A59,Dates!B59,"")</f>
        <v/>
      </c>
      <c r="C80" s="98" t="str">
        <f>IF('Mirror for payments'!C80="","",IF('Mirror for payments'!C80=Languages!$B$86,Languages!$B$86,IF('Mirror for payments'!C80=Languages!$B$90,Languages!$B$90,IF('Mirror for payments'!C80=Languages!$B$88,Languages!$B$88,IF('Mirror for payments'!C80=Languages!$B$81,Languages!$B$81,IF('Mirror for payments'!C80="_____________________","_____________________",'Mirror for payments'!C80*Load!$F$19))))))</f>
        <v/>
      </c>
      <c r="D80" s="101" t="str">
        <f>IF('Mirror for payments'!D80="","",'Mirror for payments'!D80*Load!$F$19)</f>
        <v/>
      </c>
      <c r="E80" s="99" t="str">
        <f>IF('Mirror for payments'!E80="","",'Mirror for payments'!E80*Load!$F$19)</f>
        <v/>
      </c>
      <c r="F80" s="99" t="str">
        <f>IF('Mirror for payments'!F80="","",'Mirror for payments'!F80*Load!$F$19)</f>
        <v/>
      </c>
      <c r="G80" s="99" t="str">
        <f>IF('Mirror for payments'!G80="","",'Mirror for payments'!G80*Load!$F$19)</f>
        <v/>
      </c>
      <c r="H80" s="100" t="str">
        <f>IF('Mirror for payments'!H80="","",IF('Mirror for payments'!H80=Languages!$B$84,Languages!$B$84,IF('Mirror for payments'!H80=Languages!$B$82,Languages!$B$82,IF('Mirror for payments'!H80=Languages!$B$83,Languages!$B$83,IF('Mirror for payments'!H80=Languages!$B$87,Languages!$B$87,IF('Mirror for payments'!H80="_____________________","_____________________",'Mirror for payments'!H80*Load!$F$19))))))</f>
        <v/>
      </c>
    </row>
    <row r="81" spans="1:9">
      <c r="A81" s="40" t="str">
        <f>IF(E$14&gt;=Dates!A60,Dates!A60,IF(E$14=Dates!A59,Languages!$B$136,""))</f>
        <v/>
      </c>
      <c r="B81" s="39" t="str">
        <f>IF(E$14&gt;=Dates!A60,Dates!B60,"")</f>
        <v/>
      </c>
      <c r="C81" s="98" t="str">
        <f>IF('Mirror for payments'!C81="","",IF('Mirror for payments'!C81=Languages!$B$86,Languages!$B$86,IF('Mirror for payments'!C81=Languages!$B$90,Languages!$B$90,IF('Mirror for payments'!C81=Languages!$B$88,Languages!$B$88,IF('Mirror for payments'!C81=Languages!$B$81,Languages!$B$81,IF('Mirror for payments'!C81="_____________________","_____________________",'Mirror for payments'!C81*Load!$F$19))))))</f>
        <v/>
      </c>
      <c r="D81" s="101" t="str">
        <f>IF('Mirror for payments'!D81="","",'Mirror for payments'!D81*Load!$F$19)</f>
        <v/>
      </c>
      <c r="E81" s="99" t="str">
        <f>IF('Mirror for payments'!E81="","",'Mirror for payments'!E81*Load!$F$19)</f>
        <v/>
      </c>
      <c r="F81" s="99" t="str">
        <f>IF('Mirror for payments'!F81="","",'Mirror for payments'!F81*Load!$F$19)</f>
        <v/>
      </c>
      <c r="G81" s="99" t="str">
        <f>IF('Mirror for payments'!G81="","",'Mirror for payments'!G81*Load!$F$19)</f>
        <v/>
      </c>
      <c r="H81" s="100" t="str">
        <f>IF('Mirror for payments'!H81="","",IF('Mirror for payments'!H81=Languages!$B$84,Languages!$B$84,IF('Mirror for payments'!H81=Languages!$B$82,Languages!$B$82,IF('Mirror for payments'!H81=Languages!$B$83,Languages!$B$83,IF('Mirror for payments'!H81=Languages!$B$87,Languages!$B$87,IF('Mirror for payments'!H81="_____________________","_____________________",'Mirror for payments'!H81*Load!$F$19))))))</f>
        <v/>
      </c>
    </row>
    <row r="82" spans="1:9">
      <c r="A82" s="40" t="str">
        <f>IF(E$14&gt;=Dates!A61,Dates!A61,IF(E$14=Dates!A60,Languages!$B$136,""))</f>
        <v/>
      </c>
      <c r="B82" s="39"/>
      <c r="C82" s="98" t="str">
        <f>IF('Mirror for payments'!C82="","",IF('Mirror for payments'!C82=Languages!$B$86,Languages!$B$86,IF('Mirror for payments'!C82=Languages!$B$90,Languages!$B$90,IF('Mirror for payments'!C82=Languages!$B$88,Languages!$B$88,IF('Mirror for payments'!C82=Languages!$B$81,Languages!$B$81,IF('Mirror for payments'!C82="_____________________","_____________________",'Mirror for payments'!C82*Load!$F$19))))))</f>
        <v/>
      </c>
      <c r="D82" s="101" t="str">
        <f>IF('Mirror for payments'!D82="","",'Mirror for payments'!D82*Load!$F$19)</f>
        <v/>
      </c>
      <c r="E82" s="99" t="str">
        <f>IF('Mirror for payments'!E82="","",'Mirror for payments'!E82*Load!$F$19)</f>
        <v/>
      </c>
      <c r="F82" s="99" t="str">
        <f>IF('Mirror for payments'!F82="","",'Mirror for payments'!F82*Load!$F$19)</f>
        <v/>
      </c>
      <c r="G82" s="99" t="str">
        <f>IF('Mirror for payments'!G82="","",'Mirror for payments'!G82*Load!$F$19)</f>
        <v/>
      </c>
      <c r="H82" s="100" t="str">
        <f>IF('Mirror for payments'!H82="","",IF('Mirror for payments'!H82=Languages!$B$84,Languages!$B$84,IF('Mirror for payments'!H82=Languages!$B$82,Languages!$B$82,IF('Mirror for payments'!H82=Languages!$B$83,Languages!$B$83,IF('Mirror for payments'!H82=Languages!$B$87,Languages!$B$87,IF('Mirror for payments'!H82="_____________________","_____________________",'Mirror for payments'!H82*Load!$F$19))))))</f>
        <v/>
      </c>
    </row>
    <row r="83" spans="1:9">
      <c r="A83" s="40"/>
      <c r="B83" s="39"/>
      <c r="C83" s="98" t="str">
        <f>IF('Mirror for payments'!C83="","",IF('Mirror for payments'!C83=Languages!$B$86,Languages!$B$86,IF('Mirror for payments'!C83=Languages!$B$90,Languages!$B$90,IF('Mirror for payments'!C83=Languages!$B$88,Languages!$B$88,IF('Mirror for payments'!C83=Languages!$B$81,Languages!$B$81,IF('Mirror for payments'!C83="_____________________","_____________________",'Mirror for payments'!C83*Load!$F$19))))))</f>
        <v/>
      </c>
      <c r="D83" s="101" t="str">
        <f>IF('Mirror for payments'!D83="","",'Mirror for payments'!D83*Load!$F$19)</f>
        <v/>
      </c>
      <c r="E83" s="99" t="str">
        <f>IF('Mirror for payments'!E83="","",'Mirror for payments'!E83*Load!$F$19)</f>
        <v/>
      </c>
      <c r="F83" s="99" t="str">
        <f>IF('Mirror for payments'!F83="","",'Mirror for payments'!F83*Load!$F$19)</f>
        <v/>
      </c>
      <c r="G83" s="99" t="str">
        <f>IF('Mirror for payments'!G83="","",'Mirror for payments'!G83*Load!$F$19)</f>
        <v/>
      </c>
      <c r="H83" s="100" t="str">
        <f>IF('Mirror for payments'!H83="","",IF('Mirror for payments'!H83=Languages!$B$84,Languages!$B$84,IF('Mirror for payments'!H83=Languages!$B$82,Languages!$B$82,IF('Mirror for payments'!H83=Languages!$B$83,Languages!$B$83,IF('Mirror for payments'!H83=Languages!$B$87,Languages!$B$87,IF('Mirror for payments'!H83="_____________________","_____________________",'Mirror for payments'!H83*Load!$F$19))))))</f>
        <v/>
      </c>
      <c r="I83" s="40"/>
    </row>
    <row r="84" spans="1:9">
      <c r="A84" s="40"/>
      <c r="B84" s="39"/>
      <c r="C84" s="98" t="str">
        <f>IF('Mirror for payments'!C84="","",IF('Mirror for payments'!C84=Languages!$B$86,Languages!$B$86,IF('Mirror for payments'!C84=Languages!$B$90,Languages!$B$90,IF('Mirror for payments'!C84=Languages!$B$88,Languages!$B$88,IF('Mirror for payments'!C84=Languages!$B$81,Languages!$B$81,IF('Mirror for payments'!C84="_____________________","_____________________",'Mirror for payments'!C84*Load!$F$19))))))</f>
        <v/>
      </c>
      <c r="D84" s="101" t="str">
        <f>IF('Mirror for payments'!D84="","",'Mirror for payments'!D84*Load!$F$19)</f>
        <v/>
      </c>
      <c r="E84" s="99" t="str">
        <f>IF('Mirror for payments'!E84="","",'Mirror for payments'!E84*Load!$F$19)</f>
        <v/>
      </c>
      <c r="F84" s="99" t="str">
        <f>IF('Mirror for payments'!F84="","",'Mirror for payments'!F84*Load!$F$19)</f>
        <v/>
      </c>
      <c r="G84" s="99" t="str">
        <f>IF('Mirror for payments'!G84="","",'Mirror for payments'!G84*Load!$F$19)</f>
        <v/>
      </c>
      <c r="H84" s="100" t="str">
        <f>IF('Mirror for payments'!H84="","",IF('Mirror for payments'!H84=Languages!$B$84,Languages!$B$84,IF('Mirror for payments'!H84=Languages!$B$82,Languages!$B$82,IF('Mirror for payments'!H84=Languages!$B$83,Languages!$B$83,IF('Mirror for payments'!H84=Languages!$B$87,Languages!$B$87,IF('Mirror for payments'!H84="_____________________","_____________________",'Mirror for payments'!H84*Load!$F$19))))))</f>
        <v/>
      </c>
      <c r="I84" s="40"/>
    </row>
    <row r="85" spans="1:9">
      <c r="A85" s="40"/>
      <c r="B85" s="40"/>
      <c r="C85" s="98" t="str">
        <f>IF('Mirror for payments'!C85="","",IF('Mirror for payments'!C85=Languages!$B$86,Languages!$B$86,IF('Mirror for payments'!C85=Languages!$B$90,Languages!$B$90,IF('Mirror for payments'!C85=Languages!$B$88,Languages!$B$88,IF('Mirror for payments'!C85=Languages!$B$81,Languages!$B$81,IF('Mirror for payments'!C85="_____________________","_____________________",'Mirror for payments'!C85*Load!$F$19))))))</f>
        <v/>
      </c>
      <c r="D85" s="101" t="str">
        <f>IF('Mirror for payments'!D85="","",'Mirror for payments'!D85*Load!$F$19)</f>
        <v/>
      </c>
      <c r="E85" s="99" t="str">
        <f>IF('Mirror for payments'!E85="","",'Mirror for payments'!E85*Load!$F$19)</f>
        <v/>
      </c>
      <c r="F85" s="99" t="str">
        <f>IF('Mirror for payments'!F85="","",'Mirror for payments'!F85*Load!$F$19)</f>
        <v/>
      </c>
      <c r="G85" s="99" t="str">
        <f>IF('Mirror for payments'!G85="","",'Mirror for payments'!G85*Load!$F$19)</f>
        <v/>
      </c>
      <c r="H85" s="100" t="str">
        <f>IF('Mirror for payments'!H85="","",IF('Mirror for payments'!H85=Languages!$B$84,Languages!$B$84,IF('Mirror for payments'!H85=Languages!$B$82,Languages!$B$82,IF('Mirror for payments'!H85=Languages!$B$83,Languages!$B$83,IF('Mirror for payments'!H85=Languages!$B$87,Languages!$B$87,IF('Mirror for payments'!H85="_____________________","_____________________",'Mirror for payments'!H85*Load!$F$19))))))</f>
        <v/>
      </c>
      <c r="I85" s="40"/>
    </row>
    <row r="86" spans="1:9">
      <c r="A86" s="40"/>
      <c r="B86" s="40"/>
      <c r="C86" s="98" t="str">
        <f>IF('Mirror for payments'!C86="","",IF('Mirror for payments'!C86=Languages!$B$86,Languages!$B$86,IF('Mirror for payments'!C86=Languages!$B$90,Languages!$B$90,IF('Mirror for payments'!C86=Languages!$B$88,Languages!$B$88,IF('Mirror for payments'!C86=Languages!$B$81,Languages!$B$81,IF('Mirror for payments'!C86="_____________________","_____________________",'Mirror for payments'!C86*Load!$F$19))))))</f>
        <v/>
      </c>
      <c r="D86" s="101" t="str">
        <f>IF('Mirror for payments'!D86="","",'Mirror for payments'!D86*Load!$F$19)</f>
        <v/>
      </c>
      <c r="E86" s="99" t="str">
        <f>IF('Mirror for payments'!E86="","",'Mirror for payments'!E86*Load!$F$19)</f>
        <v/>
      </c>
      <c r="F86" s="99" t="str">
        <f>IF('Mirror for payments'!F86="","",'Mirror for payments'!F86*Load!$F$19)</f>
        <v/>
      </c>
      <c r="G86" s="99" t="str">
        <f>IF('Mirror for payments'!G86="","",'Mirror for payments'!G86*Load!$F$19)</f>
        <v/>
      </c>
      <c r="H86" s="100" t="str">
        <f>IF('Mirror for payments'!H86="","",IF('Mirror for payments'!H86=Languages!$B$84,Languages!$B$84,IF('Mirror for payments'!H86=Languages!$B$82,Languages!$B$82,IF('Mirror for payments'!H86=Languages!$B$83,Languages!$B$83,IF('Mirror for payments'!H86=Languages!$B$87,Languages!$B$87,IF('Mirror for payments'!H86="_____________________","_____________________",'Mirror for payments'!H86*Load!$F$19))))))</f>
        <v/>
      </c>
      <c r="I86" s="40"/>
    </row>
    <row r="87" spans="1:9">
      <c r="A87" s="40"/>
      <c r="B87" s="40"/>
      <c r="C87" s="98" t="str">
        <f>IF('Mirror for payments'!C87="","",IF('Mirror for payments'!C87=Languages!$B$86,Languages!$B$86,IF('Mirror for payments'!C87=Languages!$B$90,Languages!$B$90,IF('Mirror for payments'!C87=Languages!$B$88,Languages!$B$88,IF('Mirror for payments'!C87=Languages!$B$81,Languages!$B$81,IF('Mirror for payments'!C87="_____________________","_____________________",'Mirror for payments'!C87*Load!$F$19))))))</f>
        <v/>
      </c>
      <c r="D87" s="101" t="str">
        <f>IF('Mirror for payments'!D87="","",'Mirror for payments'!D87*Load!$F$19)</f>
        <v/>
      </c>
      <c r="E87" s="99" t="str">
        <f>IF('Mirror for payments'!E87="","",'Mirror for payments'!E87*Load!$F$19)</f>
        <v/>
      </c>
      <c r="F87" s="99" t="str">
        <f>IF('Mirror for payments'!F87="","",'Mirror for payments'!F87*Load!$F$19)</f>
        <v/>
      </c>
      <c r="G87" s="99" t="str">
        <f>IF('Mirror for payments'!G87="","",'Mirror for payments'!G87*Load!$F$19)</f>
        <v/>
      </c>
      <c r="H87" s="100" t="str">
        <f>IF('Mirror for payments'!H87="","",IF('Mirror for payments'!H87=Languages!$B$84,Languages!$B$84,IF('Mirror for payments'!H87=Languages!$B$82,Languages!$B$82,IF('Mirror for payments'!H87=Languages!$B$83,Languages!$B$83,IF('Mirror for payments'!H87=Languages!$B$87,Languages!$B$87,IF('Mirror for payments'!H87="_____________________","_____________________",'Mirror for payments'!H87*Load!$F$19))))))</f>
        <v/>
      </c>
      <c r="I87" s="40"/>
    </row>
    <row r="88" spans="1:9">
      <c r="A88" s="40"/>
      <c r="B88" s="40"/>
      <c r="C88" s="98" t="str">
        <f>IF('Mirror for payments'!C88="","",IF('Mirror for payments'!C88=Languages!$B$86,Languages!$B$86,IF('Mirror for payments'!C88=Languages!$B$90,Languages!$B$90,IF('Mirror for payments'!C88=Languages!$B$88,Languages!$B$88,IF('Mirror for payments'!C88=Languages!$B$81,Languages!$B$81,IF('Mirror for payments'!C88="_____________________","_____________________",'Mirror for payments'!C88*Load!$F$19))))))</f>
        <v/>
      </c>
      <c r="D88" s="101" t="str">
        <f>IF('Mirror for payments'!D88="","",'Mirror for payments'!D88*Load!$F$19)</f>
        <v/>
      </c>
      <c r="E88" s="99" t="str">
        <f>IF('Mirror for payments'!E88="","",'Mirror for payments'!E88*Load!$F$19)</f>
        <v/>
      </c>
      <c r="F88" s="99" t="str">
        <f>IF('Mirror for payments'!F88="","",'Mirror for payments'!F88*Load!$F$19)</f>
        <v/>
      </c>
      <c r="G88" s="99" t="str">
        <f>IF('Mirror for payments'!G88="","",'Mirror for payments'!G88*Load!$F$19)</f>
        <v/>
      </c>
      <c r="H88" s="100" t="str">
        <f>IF('Mirror for payments'!H88="","",IF('Mirror for payments'!H88=Languages!$B$84,Languages!$B$84,IF('Mirror for payments'!H88=Languages!$B$82,Languages!$B$82,IF('Mirror for payments'!H88=Languages!$B$83,Languages!$B$83,IF('Mirror for payments'!H88=Languages!$B$87,Languages!$B$87,IF('Mirror for payments'!H88="_____________________","_____________________",'Mirror for payments'!H88*Load!$F$19))))))</f>
        <v/>
      </c>
      <c r="I88" s="40"/>
    </row>
    <row r="89" spans="1:9">
      <c r="A89" s="40"/>
      <c r="B89" s="40"/>
      <c r="C89" s="98" t="str">
        <f>IF('Mirror for payments'!C89="","",IF('Mirror for payments'!C89=Languages!$B$86,Languages!$B$86,IF('Mirror for payments'!C89=Languages!$B$90,Languages!$B$90,IF('Mirror for payments'!C89=Languages!$B$88,Languages!$B$88,IF('Mirror for payments'!C89=Languages!$B$81,Languages!$B$81,IF('Mirror for payments'!C89="_____________________","_____________________",'Mirror for payments'!C89*Load!$F$19))))))</f>
        <v/>
      </c>
      <c r="D89" s="101" t="str">
        <f>IF('Mirror for payments'!D89="","",'Mirror for payments'!D89*Load!$F$19)</f>
        <v/>
      </c>
      <c r="E89" s="99" t="str">
        <f>IF('Mirror for payments'!E89="","",'Mirror for payments'!E89*Load!$F$19)</f>
        <v/>
      </c>
      <c r="F89" s="99" t="str">
        <f>IF('Mirror for payments'!F89="","",'Mirror for payments'!F89*Load!$F$19)</f>
        <v/>
      </c>
      <c r="G89" s="99" t="str">
        <f>IF('Mirror for payments'!G89="","",'Mirror for payments'!G89*Load!$F$19)</f>
        <v/>
      </c>
      <c r="H89" s="100" t="str">
        <f>IF('Mirror for payments'!H89="","",IF('Mirror for payments'!H89=Languages!$B$84,Languages!$B$84,IF('Mirror for payments'!H89=Languages!$B$82,Languages!$B$82,IF('Mirror for payments'!H89=Languages!$B$83,Languages!$B$83,IF('Mirror for payments'!H89=Languages!$B$87,Languages!$B$87,IF('Mirror for payments'!H89="_____________________","_____________________",'Mirror for payments'!H89*Load!$F$19))))))</f>
        <v/>
      </c>
      <c r="I89" s="40"/>
    </row>
    <row r="90" spans="1:9">
      <c r="A90" s="40"/>
      <c r="B90" s="40"/>
      <c r="C90" s="98" t="str">
        <f>IF('Mirror for payments'!C90="","",IF('Mirror for payments'!C90=Languages!$B$86,Languages!$B$86,IF('Mirror for payments'!C90=Languages!$B$90,Languages!$B$90,IF('Mirror for payments'!C90=Languages!$B$88,Languages!$B$88,IF('Mirror for payments'!C90=Languages!$B$81,Languages!$B$81,IF('Mirror for payments'!C90="_____________________","_____________________",'Mirror for payments'!C90*Load!$F$19))))))</f>
        <v/>
      </c>
      <c r="D90" s="101" t="str">
        <f>IF('Mirror for payments'!D90="","",'Mirror for payments'!D90*Load!$F$19)</f>
        <v/>
      </c>
      <c r="E90" s="99" t="str">
        <f>IF('Mirror for payments'!E90="","",'Mirror for payments'!E90*Load!$F$19)</f>
        <v/>
      </c>
      <c r="F90" s="99" t="str">
        <f>IF('Mirror for payments'!F90="","",'Mirror for payments'!F90*Load!$F$19)</f>
        <v/>
      </c>
      <c r="G90" s="99" t="str">
        <f>IF('Mirror for payments'!G90="","",'Mirror for payments'!G90*Load!$F$19)</f>
        <v/>
      </c>
      <c r="H90" s="100" t="str">
        <f>IF('Mirror for payments'!H90="","",IF('Mirror for payments'!H90=Languages!$B$84,Languages!$B$84,IF('Mirror for payments'!H90=Languages!$B$82,Languages!$B$82,IF('Mirror for payments'!H90=Languages!$B$83,Languages!$B$83,IF('Mirror for payments'!H90=Languages!$B$87,Languages!$B$87,IF('Mirror for payments'!H90="_____________________","_____________________",'Mirror for payments'!H90*Load!$F$19))))))</f>
        <v/>
      </c>
      <c r="I90" s="40"/>
    </row>
    <row r="91" spans="1:9">
      <c r="A91" s="40"/>
      <c r="B91" s="40"/>
      <c r="C91" s="98" t="str">
        <f>IF('Mirror for payments'!C91="","",IF('Mirror for payments'!C91=Languages!$B$86,Languages!$B$86,IF('Mirror for payments'!C91=Languages!$B$90,Languages!$B$90,IF('Mirror for payments'!C91=Languages!$B$88,Languages!$B$88,IF('Mirror for payments'!C91=Languages!$B$81,Languages!$B$81,IF('Mirror for payments'!C91="_____________________","_____________________",'Mirror for payments'!C91*Load!$F$19))))))</f>
        <v/>
      </c>
      <c r="D91" s="101" t="str">
        <f>IF('Mirror for payments'!D91="","",'Mirror for payments'!D91*Load!$F$19)</f>
        <v/>
      </c>
      <c r="E91" s="99" t="str">
        <f>IF('Mirror for payments'!E91="","",'Mirror for payments'!E91*Load!$F$19)</f>
        <v/>
      </c>
      <c r="F91" s="99" t="str">
        <f>IF('Mirror for payments'!F91="","",'Mirror for payments'!F91*Load!$F$19)</f>
        <v/>
      </c>
      <c r="G91" s="99" t="str">
        <f>IF('Mirror for payments'!G91="","",'Mirror for payments'!G91*Load!$F$19)</f>
        <v/>
      </c>
      <c r="H91" s="100" t="str">
        <f>IF('Mirror for payments'!H91="","",IF('Mirror for payments'!H91=Languages!$B$84,Languages!$B$84,IF('Mirror for payments'!H91=Languages!$B$82,Languages!$B$82,IF('Mirror for payments'!H91=Languages!$B$83,Languages!$B$83,IF('Mirror for payments'!H91=Languages!$B$87,Languages!$B$87,IF('Mirror for payments'!H91="_____________________","_____________________",'Mirror for payments'!H91*Load!$F$19))))))</f>
        <v/>
      </c>
      <c r="I91" s="40"/>
    </row>
    <row r="92" spans="1:9">
      <c r="A92" s="40"/>
      <c r="B92" s="40"/>
      <c r="C92" s="68"/>
      <c r="D92" s="40"/>
      <c r="E92" s="40"/>
      <c r="F92" s="40"/>
      <c r="G92" s="40"/>
      <c r="H92" s="40"/>
      <c r="I92" s="40"/>
    </row>
    <row r="93" spans="1:9">
      <c r="A93" s="40"/>
      <c r="B93" s="40"/>
      <c r="C93" s="68"/>
      <c r="D93" s="40"/>
      <c r="E93" s="40"/>
      <c r="F93" s="40"/>
      <c r="G93" s="40"/>
      <c r="H93" s="40"/>
      <c r="I93" s="40"/>
    </row>
    <row r="94" spans="1:9">
      <c r="A94" s="40"/>
      <c r="B94" s="40"/>
      <c r="C94" s="68"/>
      <c r="D94" s="40"/>
      <c r="E94" s="40"/>
      <c r="F94" s="40"/>
      <c r="G94" s="40"/>
      <c r="H94" s="40"/>
    </row>
    <row r="95" spans="1:9">
      <c r="A95" s="40"/>
      <c r="B95" s="40"/>
      <c r="C95" s="68"/>
      <c r="D95" s="40"/>
      <c r="E95" s="40"/>
      <c r="F95" s="40"/>
      <c r="G95" s="40"/>
      <c r="H95" s="40"/>
    </row>
    <row r="96" spans="1:9">
      <c r="A96" s="40"/>
      <c r="B96" s="40"/>
      <c r="C96" s="68"/>
      <c r="D96" s="40"/>
      <c r="E96" s="40"/>
      <c r="F96" s="40"/>
      <c r="G96" s="40"/>
      <c r="H96" s="40"/>
    </row>
    <row r="97" spans="1:8">
      <c r="A97" s="40"/>
      <c r="B97" s="40"/>
      <c r="C97" s="40"/>
      <c r="D97" s="40"/>
      <c r="E97" s="40"/>
      <c r="F97" s="40"/>
      <c r="G97" s="40"/>
      <c r="H97" s="40"/>
    </row>
    <row r="98" spans="1:8">
      <c r="A98" s="40"/>
      <c r="B98" s="40"/>
      <c r="C98" s="40"/>
      <c r="D98" s="40"/>
      <c r="E98" s="40"/>
      <c r="F98" s="40"/>
      <c r="G98" s="40"/>
      <c r="H98" s="40"/>
    </row>
    <row r="99" spans="1:8">
      <c r="A99" s="40"/>
      <c r="B99" s="40"/>
      <c r="C99" s="40"/>
      <c r="D99" s="40"/>
      <c r="E99" s="40"/>
      <c r="F99" s="40"/>
      <c r="G99" s="40"/>
      <c r="H99" s="40"/>
    </row>
    <row r="100" spans="1:8">
      <c r="A100" s="40"/>
      <c r="B100" s="40"/>
      <c r="C100" s="40"/>
      <c r="D100" s="40"/>
      <c r="E100" s="40"/>
      <c r="F100" s="40"/>
      <c r="G100" s="40"/>
      <c r="H100" s="40"/>
    </row>
    <row r="101" spans="1:8">
      <c r="A101" s="40"/>
      <c r="B101" s="40"/>
      <c r="C101" s="40"/>
      <c r="D101" s="40"/>
      <c r="E101" s="40"/>
      <c r="F101" s="40"/>
      <c r="G101" s="40"/>
      <c r="H101" s="40"/>
    </row>
    <row r="102" spans="1:8">
      <c r="A102" s="40"/>
      <c r="B102" s="40"/>
      <c r="C102" s="40"/>
      <c r="D102" s="40"/>
      <c r="E102" s="40"/>
      <c r="F102" s="40"/>
      <c r="G102" s="40"/>
      <c r="H102" s="40"/>
    </row>
    <row r="103" spans="1:8">
      <c r="A103" s="40"/>
      <c r="B103" s="40"/>
      <c r="C103" s="40"/>
      <c r="D103" s="40"/>
      <c r="E103" s="40"/>
      <c r="F103" s="40"/>
      <c r="G103" s="40"/>
      <c r="H103" s="40"/>
    </row>
    <row r="104" spans="1:8">
      <c r="A104" s="40"/>
      <c r="B104" s="40"/>
      <c r="C104" s="40"/>
      <c r="D104" s="40"/>
      <c r="E104" s="40"/>
      <c r="F104" s="40"/>
      <c r="G104" s="40"/>
      <c r="H104" s="40"/>
    </row>
    <row r="105" spans="1:8">
      <c r="A105" s="40"/>
      <c r="B105" s="40"/>
      <c r="C105" s="40"/>
      <c r="D105" s="40"/>
      <c r="E105" s="40"/>
      <c r="F105" s="40"/>
      <c r="G105" s="40"/>
      <c r="H105" s="40"/>
    </row>
    <row r="106" spans="1:8">
      <c r="A106" s="40"/>
      <c r="B106" s="40"/>
      <c r="C106" s="40"/>
      <c r="D106" s="40"/>
      <c r="E106" s="40"/>
      <c r="F106" s="40"/>
      <c r="G106" s="40"/>
      <c r="H106" s="40"/>
    </row>
    <row r="107" spans="1:8">
      <c r="A107" s="40"/>
      <c r="B107" s="40"/>
      <c r="C107" s="40"/>
      <c r="D107" s="40"/>
      <c r="E107" s="40"/>
      <c r="F107" s="40"/>
      <c r="G107" s="40"/>
      <c r="H107" s="40"/>
    </row>
    <row r="108" spans="1:8">
      <c r="A108" s="40"/>
      <c r="B108" s="40"/>
      <c r="C108" s="40"/>
      <c r="D108" s="40"/>
      <c r="E108" s="40"/>
      <c r="F108" s="40"/>
      <c r="G108" s="40"/>
      <c r="H108" s="40"/>
    </row>
    <row r="109" spans="1:8">
      <c r="A109" s="40"/>
      <c r="B109" s="40"/>
      <c r="C109" s="40"/>
      <c r="D109" s="40"/>
      <c r="E109" s="40"/>
      <c r="F109" s="40"/>
      <c r="G109" s="40"/>
      <c r="H109" s="40"/>
    </row>
    <row r="110" spans="1:8">
      <c r="A110" s="40"/>
      <c r="B110" s="40"/>
      <c r="C110" s="40"/>
      <c r="D110" s="40"/>
      <c r="E110" s="40"/>
      <c r="F110" s="40"/>
      <c r="G110" s="40"/>
      <c r="H110" s="40"/>
    </row>
    <row r="111" spans="1:8">
      <c r="A111" s="40"/>
      <c r="B111" s="40"/>
      <c r="C111" s="40"/>
      <c r="D111" s="40"/>
      <c r="E111" s="40"/>
      <c r="F111" s="40"/>
      <c r="G111" s="40"/>
      <c r="H111" s="40"/>
    </row>
    <row r="112" spans="1:8">
      <c r="A112" s="40"/>
      <c r="B112" s="40"/>
      <c r="C112" s="40"/>
      <c r="D112" s="40"/>
      <c r="E112" s="40"/>
      <c r="F112" s="40"/>
      <c r="G112" s="40"/>
      <c r="H112" s="40"/>
    </row>
    <row r="113" spans="1:8">
      <c r="A113" s="40"/>
      <c r="B113" s="40"/>
      <c r="C113" s="40"/>
      <c r="D113" s="40"/>
      <c r="E113" s="40"/>
      <c r="F113" s="40"/>
      <c r="G113" s="40"/>
      <c r="H113" s="40"/>
    </row>
    <row r="114" spans="1:8">
      <c r="A114" s="40"/>
      <c r="B114" s="40"/>
      <c r="C114" s="40"/>
      <c r="D114" s="40"/>
      <c r="E114" s="40"/>
      <c r="F114" s="40"/>
      <c r="G114" s="40"/>
      <c r="H114" s="40"/>
    </row>
    <row r="115" spans="1:8">
      <c r="A115" s="40"/>
      <c r="B115" s="40"/>
      <c r="C115" s="40"/>
      <c r="D115" s="40"/>
      <c r="E115" s="40"/>
      <c r="F115" s="40"/>
      <c r="G115" s="40"/>
      <c r="H115" s="40"/>
    </row>
    <row r="116" spans="1:8">
      <c r="A116" s="40"/>
      <c r="B116" s="40"/>
      <c r="C116" s="40"/>
      <c r="D116" s="40"/>
      <c r="E116" s="40"/>
      <c r="F116" s="40"/>
      <c r="G116" s="40"/>
      <c r="H116" s="40"/>
    </row>
    <row r="117" spans="1:8">
      <c r="A117" s="40"/>
      <c r="B117" s="40"/>
      <c r="C117" s="40"/>
      <c r="D117" s="40"/>
      <c r="E117" s="40"/>
      <c r="F117" s="40"/>
      <c r="G117" s="40"/>
      <c r="H117" s="40"/>
    </row>
    <row r="118" spans="1:8">
      <c r="A118" s="40"/>
      <c r="B118" s="40"/>
      <c r="C118" s="40"/>
      <c r="D118" s="40"/>
      <c r="E118" s="40"/>
      <c r="F118" s="40"/>
      <c r="G118" s="40"/>
      <c r="H118" s="40"/>
    </row>
    <row r="119" spans="1:8">
      <c r="A119" s="40"/>
      <c r="B119" s="40"/>
      <c r="C119" s="40"/>
      <c r="D119" s="40"/>
      <c r="E119" s="40"/>
      <c r="F119" s="40"/>
      <c r="G119" s="40"/>
      <c r="H119" s="40"/>
    </row>
    <row r="120" spans="1:8">
      <c r="A120" s="40"/>
      <c r="B120" s="40"/>
      <c r="C120" s="40"/>
      <c r="D120" s="40"/>
      <c r="E120" s="40"/>
      <c r="F120" s="40"/>
      <c r="G120" s="40"/>
      <c r="H120" s="40"/>
    </row>
  </sheetData>
  <customSheetViews>
    <customSheetView guid="{2D8FE04E-10B5-4EAA-93D2-EE669C206AFD}" hiddenRows="1" topLeftCell="A31">
      <selection activeCell="D23" sqref="D23"/>
      <colBreaks count="1" manualBreakCount="1">
        <brk id="8" max="1048575" man="1"/>
      </colBreaks>
      <pageMargins left="0.75" right="0.75" top="1" bottom="1" header="0.5" footer="0.5"/>
      <pageSetup paperSize="9" scale="74" orientation="portrait" r:id="rId1"/>
      <headerFooter alignWithMargins="0"/>
    </customSheetView>
    <customSheetView guid="{5171270A-F9AF-4D41-A7C6-60AFF57C569E}" hiddenRows="1">
      <selection activeCell="D23" sqref="D23"/>
      <colBreaks count="1" manualBreakCount="1">
        <brk id="8" max="1048575" man="1"/>
      </colBreaks>
      <pageMargins left="0.75" right="0.75" top="1" bottom="1" header="0.5" footer="0.5"/>
      <pageSetup paperSize="9" scale="74" orientation="portrait" r:id="rId2"/>
      <headerFooter alignWithMargins="0"/>
    </customSheetView>
    <customSheetView guid="{13FA8F4C-0951-4875-9D44-4989C5CEBB01}" hiddenRows="1">
      <selection activeCell="D23" sqref="D23"/>
      <colBreaks count="1" manualBreakCount="1">
        <brk id="8" max="1048575" man="1"/>
      </colBreaks>
      <pageMargins left="0.75" right="0.75" top="1" bottom="1" header="0.5" footer="0.5"/>
      <pageSetup paperSize="9" scale="74" orientation="portrait" r:id="rId3"/>
      <headerFooter alignWithMargins="0"/>
    </customSheetView>
    <customSheetView guid="{77B961DF-431A-4785-A57B-FF1BA0586569}" hiddenRows="1" showRuler="0" topLeftCell="A31">
      <selection activeCell="D23" sqref="D23"/>
      <colBreaks count="1" manualBreakCount="1">
        <brk id="8" max="1048575" man="1"/>
      </colBreaks>
      <pageMargins left="0.75" right="0.75" top="1" bottom="1" header="0.5" footer="0.5"/>
      <pageSetup paperSize="9" scale="74" orientation="portrait" r:id="rId4"/>
      <headerFooter alignWithMargins="0"/>
    </customSheetView>
    <customSheetView guid="{AD887635-810A-407C-BA16-5AFA4A800B29}" hiddenRows="1" showRuler="0" topLeftCell="A31">
      <selection activeCell="D23" sqref="D23"/>
      <colBreaks count="1" manualBreakCount="1">
        <brk id="8" max="1048575" man="1"/>
      </colBreaks>
      <pageMargins left="0.75" right="0.75" top="1" bottom="1" header="0.5" footer="0.5"/>
      <pageSetup paperSize="9" scale="74" orientation="portrait" r:id="rId5"/>
      <headerFooter alignWithMargins="0"/>
    </customSheetView>
    <customSheetView guid="{C56ABC15-C776-4280-9985-F20AC3F66C8A}" hiddenRows="1">
      <selection activeCell="D23" sqref="D23"/>
      <colBreaks count="1" manualBreakCount="1">
        <brk id="8" max="1048575" man="1"/>
      </colBreaks>
      <pageMargins left="0.75" right="0.75" top="1" bottom="1" header="0.5" footer="0.5"/>
      <pageSetup paperSize="9" scale="74" orientation="portrait" r:id="rId6"/>
      <headerFooter alignWithMargins="0"/>
    </customSheetView>
  </customSheetViews>
  <phoneticPr fontId="2" type="noConversion"/>
  <pageMargins left="0.75" right="0.75" top="1" bottom="1" header="0.5" footer="0.5"/>
  <pageSetup paperSize="9" scale="74" orientation="portrait" r:id="rId7"/>
  <headerFooter alignWithMargins="0"/>
  <colBreaks count="1" manualBreakCount="1">
    <brk id="8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8"/>
  <sheetViews>
    <sheetView zoomScaleNormal="100" workbookViewId="0">
      <selection activeCell="E46" sqref="E46"/>
    </sheetView>
  </sheetViews>
  <sheetFormatPr defaultRowHeight="12.75"/>
  <cols>
    <col min="1" max="1" width="40.5703125" customWidth="1"/>
    <col min="2" max="2" width="24.28515625" customWidth="1"/>
    <col min="3" max="3" width="4.7109375" bestFit="1" customWidth="1"/>
    <col min="4" max="4" width="9.5703125" bestFit="1" customWidth="1"/>
    <col min="5" max="5" width="10.28515625" bestFit="1" customWidth="1"/>
  </cols>
  <sheetData>
    <row r="1" spans="1:5">
      <c r="A1" t="str">
        <f>IF(Load!C50="",Languages!B84,Load!C50)</f>
        <v>S.H.Rəsulov</v>
      </c>
    </row>
    <row r="2" spans="1:5">
      <c r="A2" s="5" t="str">
        <f>IF(Languages!$B$1=1,Languages!A129,IF(Languages!$B$1=2,Languages!B129,IF(Languages!$B$1=3,Languages!C129)))</f>
        <v>Lizinq ödənişləri</v>
      </c>
      <c r="B2" s="5"/>
      <c r="C2" s="5"/>
    </row>
    <row r="4" spans="1:5">
      <c r="D4" s="7" t="str">
        <f>IF(Languages!$C$19&lt;=3,"AZN","")</f>
        <v>AZN</v>
      </c>
      <c r="E4" s="7" t="str">
        <f>Languages!B22</f>
        <v>AZN</v>
      </c>
    </row>
    <row r="5" spans="1:5">
      <c r="A5" s="8" t="str">
        <f>IF(Languages!$B$1=1,Languages!A14,IF(Languages!$B$1=2,Languages!B14,IF(Languages!$B$1=3,Languages!C14)))</f>
        <v>Avans - Əsas məbləğ</v>
      </c>
      <c r="B5" s="8"/>
      <c r="C5" s="11">
        <f>Load!C15</f>
        <v>0</v>
      </c>
      <c r="D5" s="85" t="str">
        <f>IF(Languages!$C$19&lt;3,E5*Load!$F$19,"")</f>
        <v/>
      </c>
      <c r="E5" s="85">
        <f>'Mirror for payments'!E9</f>
        <v>0</v>
      </c>
    </row>
    <row r="6" spans="1:5" ht="13.5" thickBot="1">
      <c r="A6" s="8" t="str">
        <f>IF(Languages!$B$1=1,Languages!A15,IF(Languages!$B$1=2,Languages!B15,IF(Languages!$B$1=3,Languages!C15)))</f>
        <v>Avans - Sığorta və Bank xərcləri</v>
      </c>
      <c r="B6" s="8"/>
      <c r="C6" s="11"/>
      <c r="D6" s="85" t="str">
        <f>IF(Languages!$C$19&lt;3,E6*Load!$F$19,"")</f>
        <v/>
      </c>
      <c r="E6" s="85">
        <f>+'Mirror for payments'!G20</f>
        <v>0</v>
      </c>
    </row>
    <row r="7" spans="1:5" ht="13.5" thickBot="1">
      <c r="A7" s="8" t="str">
        <f>IF(Languages!$B$1=1,Languages!A16,IF(Languages!$B$1=2,Languages!B16,IF(Languages!$B$1=3,Languages!C16)))</f>
        <v>Avans - Cəmi</v>
      </c>
      <c r="B7" s="8"/>
      <c r="C7" s="11"/>
      <c r="D7" s="96" t="str">
        <f>IF(Languages!$C$19&lt;3,SUM(D5:D6),"")</f>
        <v/>
      </c>
      <c r="E7" s="86">
        <f>SUM(E5:E6)</f>
        <v>0</v>
      </c>
    </row>
    <row r="8" spans="1:5">
      <c r="A8" s="6"/>
      <c r="B8" s="6"/>
      <c r="C8" s="95"/>
      <c r="D8" s="94"/>
      <c r="E8" s="94"/>
    </row>
    <row r="9" spans="1:5">
      <c r="A9" s="8" t="str">
        <f>IF(Languages!$B$1=1,Languages!A17,IF(Languages!$B$1=2,Languages!B17,IF(Languages!$B$1=3,Languages!C17)))</f>
        <v>Birdəfəlik mükafat</v>
      </c>
      <c r="B9" s="8"/>
      <c r="C9" s="11">
        <f>Load!C16</f>
        <v>0.03</v>
      </c>
      <c r="D9" s="85" t="str">
        <f>IF(Languages!$C$19&lt;3,E9*Load!$F$19,"")</f>
        <v/>
      </c>
      <c r="E9" s="85">
        <f>'Mirror for payments'!E11</f>
        <v>1560</v>
      </c>
    </row>
    <row r="10" spans="1:5">
      <c r="A10" s="8" t="str">
        <f>IF(Languages!$B$1=1,Languages!A129,IF(Languages!$B$1=2,Languages!B129,IF(Languages!$B$1=3,Languages!C129)))</f>
        <v>Lizinq ödənişləri</v>
      </c>
      <c r="B10" s="8"/>
      <c r="C10" s="8"/>
      <c r="D10" s="85" t="str">
        <f>IF(Languages!$C$19&lt;3,E10*Load!$F$19,"")</f>
        <v/>
      </c>
      <c r="E10" s="85">
        <f>'Mirror for payments'!D58</f>
        <v>73052.528349420987</v>
      </c>
    </row>
    <row r="11" spans="1:5">
      <c r="A11" s="8" t="str">
        <f>IF(Languages!$B$1=1,Languages!A127,IF(Languages!$B$1=2,Languages!B127,IF(Languages!$B$1=3,Languages!C127)))</f>
        <v>Avadanlıq qalığının satışı</v>
      </c>
      <c r="B11" s="8"/>
      <c r="C11" s="8"/>
      <c r="D11" s="85" t="str">
        <f>IF(Languages!$C$19&lt;3,E11*Load!$F$19,"")</f>
        <v/>
      </c>
      <c r="E11" s="85">
        <f>Load!C44</f>
        <v>0</v>
      </c>
    </row>
    <row r="12" spans="1:5">
      <c r="A12" s="8" t="str">
        <f>IF(Languages!$B$1=1,Languages!A128,IF(Languages!$B$1=2,Languages!B128,IF(Languages!$B$1=3,Languages!C128)))</f>
        <v>Digər</v>
      </c>
      <c r="B12" s="8"/>
      <c r="C12" s="8"/>
      <c r="D12" s="85" t="str">
        <f>IF(Languages!$C$19&lt;3,E12*Load!$F$19,"")</f>
        <v/>
      </c>
      <c r="E12" s="85">
        <f>Load!C45</f>
        <v>0</v>
      </c>
    </row>
    <row r="13" spans="1:5" ht="13.5" thickBot="1">
      <c r="A13" s="8"/>
      <c r="B13" s="8"/>
      <c r="C13" s="8"/>
      <c r="D13" s="85"/>
      <c r="E13" s="85"/>
    </row>
    <row r="14" spans="1:5" ht="13.5" thickBot="1">
      <c r="A14" s="8" t="str">
        <f>Languages!$B$136</f>
        <v>Cəmi</v>
      </c>
      <c r="B14" s="8"/>
      <c r="C14" s="8"/>
      <c r="D14" s="86" t="str">
        <f>IF(Languages!$C$19&lt;3,SUM(D10:D13),"")</f>
        <v/>
      </c>
      <c r="E14" s="86">
        <f>SUM(E10:E13)</f>
        <v>73052.528349420987</v>
      </c>
    </row>
    <row r="15" spans="1:5">
      <c r="D15" s="4"/>
      <c r="E15" s="4"/>
    </row>
    <row r="16" spans="1:5">
      <c r="D16" s="4"/>
      <c r="E16" s="4"/>
    </row>
    <row r="17" spans="1:5">
      <c r="A17" s="5" t="str">
        <f>IF(Languages!$B$1=1,Languages!A130,IF(Languages!$B$1=2,Languages!B130,IF(Languages!$B$1=3,Languages!C130)))</f>
        <v>Lizinq müqaviləsi üzrə AGLizinq şirkətinin xərcləri</v>
      </c>
      <c r="B17" s="5"/>
      <c r="C17" s="5"/>
      <c r="D17" s="4"/>
      <c r="E17" s="4"/>
    </row>
    <row r="18" spans="1:5">
      <c r="D18" s="4"/>
      <c r="E18" s="4"/>
    </row>
    <row r="19" spans="1:5">
      <c r="A19" s="8" t="str">
        <f>IF(Languages!$B$1=1,Languages!A27,IF(Languages!$B$1=2,Languages!B27,IF(Languages!$B$1=3,Languages!C27)))</f>
        <v>Avadanlığın qiyməti</v>
      </c>
      <c r="B19" s="8"/>
      <c r="C19" s="8"/>
      <c r="D19" s="85" t="str">
        <f>IF(Languages!$C$19&lt;3,E19*Load!$F$19,"")</f>
        <v/>
      </c>
      <c r="E19" s="85">
        <f>Load!C21</f>
        <v>52000</v>
      </c>
    </row>
    <row r="20" spans="1:5">
      <c r="A20" s="8" t="str">
        <f>IF(Languages!$B$1=1,Languages!A28,IF(Languages!$B$1=2,Languages!B28,IF(Languages!$B$1=3,Languages!C28)))</f>
        <v>Gömrük xərcləri</v>
      </c>
      <c r="B20" s="8"/>
      <c r="C20" s="8"/>
      <c r="D20" s="85" t="str">
        <f>IF(Languages!$C$19&lt;3,E20*Load!$F$19,"")</f>
        <v/>
      </c>
      <c r="E20" s="85">
        <f>Load!C22</f>
        <v>0</v>
      </c>
    </row>
    <row r="21" spans="1:5">
      <c r="A21" s="9" t="s">
        <v>119</v>
      </c>
      <c r="B21" s="8" t="str">
        <f>IF(Languages!$B$1=1,Languages!A29,IF(Languages!$B$1=2,Languages!B29,IF(Languages!$B$1=3,Languages!C29)))</f>
        <v>ƏDV</v>
      </c>
      <c r="C21" s="8"/>
      <c r="D21" s="85" t="str">
        <f>IF(Languages!$C$19&lt;3,E21*Load!$F$19,"")</f>
        <v/>
      </c>
      <c r="E21" s="85">
        <f>Load!C23</f>
        <v>0</v>
      </c>
    </row>
    <row r="22" spans="1:5">
      <c r="A22" s="9" t="s">
        <v>119</v>
      </c>
      <c r="B22" s="8" t="str">
        <f>IF(Languages!$B$1=1,Languages!A30,IF(Languages!$B$1=2,Languages!B30,IF(Languages!$B$1=3,Languages!C30)))</f>
        <v>Gömrük proseduru</v>
      </c>
      <c r="C22" s="8"/>
      <c r="D22" s="85" t="str">
        <f>IF(Languages!$C$19&lt;3,E22*Load!$F$19,"")</f>
        <v/>
      </c>
      <c r="E22" s="85">
        <f>Load!C24</f>
        <v>0</v>
      </c>
    </row>
    <row r="23" spans="1:5">
      <c r="A23" s="9" t="s">
        <v>119</v>
      </c>
      <c r="B23" s="8" t="str">
        <f>IF(Languages!$B$1=1,Languages!A31,IF(Languages!$B$1=2,Languages!B31,IF(Languages!$B$1=3,Languages!C31)))</f>
        <v>Gömrük rüsumu</v>
      </c>
      <c r="C23" s="8"/>
      <c r="D23" s="85" t="str">
        <f>IF(Languages!$C$19&lt;3,E23*Load!$F$19,"")</f>
        <v/>
      </c>
      <c r="E23" s="85">
        <f>Load!C25</f>
        <v>0</v>
      </c>
    </row>
    <row r="24" spans="1:5">
      <c r="A24" s="9" t="s">
        <v>119</v>
      </c>
      <c r="B24" s="8" t="str">
        <f>Languages!B160</f>
        <v>Deklаrasiya</v>
      </c>
      <c r="C24" s="8"/>
      <c r="D24" s="85" t="str">
        <f>IF(Languages!$C$19&lt;3,E24*Load!$F$19,"")</f>
        <v/>
      </c>
      <c r="E24" s="85">
        <f>Load!C26</f>
        <v>0</v>
      </c>
    </row>
    <row r="25" spans="1:5">
      <c r="A25" s="8" t="str">
        <f>IF(Languages!$B$1=1,Languages!A32,IF(Languages!$B$1=2,Languages!B32,IF(Languages!$B$1=3,Languages!C32)))</f>
        <v>Nəqliyyat xərcləri</v>
      </c>
      <c r="B25" s="8"/>
      <c r="C25" s="8"/>
      <c r="D25" s="85" t="str">
        <f>IF(Languages!$C$19&lt;3,E25*Load!$F$19,"")</f>
        <v/>
      </c>
      <c r="E25" s="85">
        <f>Load!C27</f>
        <v>0</v>
      </c>
    </row>
    <row r="26" spans="1:5">
      <c r="A26" s="8" t="str">
        <f>IF(Languages!$B$1=1,Languages!A33,IF(Languages!$B$1=2,Languages!B33,IF(Languages!$B$1=3,Languages!C33)))</f>
        <v>Yol Sığorta xərcləri</v>
      </c>
      <c r="B26" s="8"/>
      <c r="C26" s="8"/>
      <c r="D26" s="85" t="str">
        <f>IF(Languages!$C$19&lt;3,E26*Load!$F$19,"")</f>
        <v/>
      </c>
      <c r="E26" s="85">
        <f>Load!C28</f>
        <v>0</v>
      </c>
    </row>
    <row r="27" spans="1:5">
      <c r="A27" s="10" t="str">
        <f>IF(Languages!$B$1=1,Languages!A34,IF(Languages!$B$1=2,Languages!B34,IF(Languages!$B$1=3,Languages!C34)))</f>
        <v>Avadanlığın quraştırılması</v>
      </c>
      <c r="B27" s="8"/>
      <c r="C27" s="8"/>
      <c r="D27" s="85" t="str">
        <f>IF(Languages!$C$19&lt;3,E27*Load!$F$19,"")</f>
        <v/>
      </c>
      <c r="E27" s="85">
        <f>Load!C29</f>
        <v>0</v>
      </c>
    </row>
    <row r="28" spans="1:5">
      <c r="A28" s="8" t="str">
        <f>IF(Languages!$B$1=1,Languages!A35,IF(Languages!$B$1=2,Languages!B35,IF(Languages!$B$1=3,Languages!C35)))</f>
        <v>Bank köçürməsi xərcləri</v>
      </c>
      <c r="B28" s="8"/>
      <c r="C28" s="8"/>
      <c r="D28" s="85" t="str">
        <f>IF(Languages!$C$19&lt;3,E28*Load!$F$19,"")</f>
        <v/>
      </c>
      <c r="E28" s="85">
        <f>IF(Languages!B165=2,Load!C30,0)</f>
        <v>0</v>
      </c>
    </row>
    <row r="29" spans="1:5">
      <c r="A29" s="8" t="str">
        <f>IF(Languages!$B$1=1,Languages!A36,IF(Languages!$B$1=2,Languages!B36,IF(Languages!$B$1=3,Languages!C36)))</f>
        <v>Valyuta mübadiləsi</v>
      </c>
      <c r="B29" s="8"/>
      <c r="C29" s="8"/>
      <c r="D29" s="85" t="str">
        <f>IF(Languages!$C$19&lt;3,E29*Load!$F$19,"")</f>
        <v/>
      </c>
      <c r="E29" s="85">
        <f>IF(Languages!B165=2,Load!C31,0)</f>
        <v>0</v>
      </c>
    </row>
    <row r="30" spans="1:5">
      <c r="A30" s="8" t="str">
        <f>IF(Languages!$B$1=1,Languages!A37,IF(Languages!$B$1=2,Languages!B37,IF(Languages!$B$1=3,Languages!C37)))</f>
        <v>Akreditiv xərcləri</v>
      </c>
      <c r="B30" s="8"/>
      <c r="C30" s="8"/>
      <c r="D30" s="85" t="str">
        <f>IF(Languages!$C$19&lt;3,E30*Load!$F$19,"")</f>
        <v/>
      </c>
      <c r="E30" s="85">
        <f>Load!C32</f>
        <v>0</v>
      </c>
    </row>
    <row r="31" spans="1:5">
      <c r="A31" s="8" t="str">
        <f>IF(Languages!$B$1=1,Languages!A38,IF(Languages!$B$1=2,Languages!B38,IF(Languages!$B$1=3,Languages!C38)))</f>
        <v>Notariat xərcləri</v>
      </c>
      <c r="B31" s="8"/>
      <c r="C31" s="8"/>
      <c r="D31" s="85" t="str">
        <f>IF(Languages!$C$19&lt;3,E31*Load!$F$19,"")</f>
        <v/>
      </c>
      <c r="E31" s="85">
        <f>Load!C33</f>
        <v>0</v>
      </c>
    </row>
    <row r="32" spans="1:5">
      <c r="A32" s="8" t="str">
        <f>IF(Languages!$B$1=1,Languages!A39,IF(Languages!$B$1=2,Languages!B39,IF(Languages!$B$1=3,Languages!C39)))</f>
        <v xml:space="preserve">Vergilər  </v>
      </c>
      <c r="B32" s="8"/>
      <c r="C32" s="8"/>
      <c r="D32" s="85" t="str">
        <f>IF(Languages!$C$19&lt;3,E32*Load!$F$19,"")</f>
        <v/>
      </c>
      <c r="E32" s="85">
        <f>Load!C34</f>
        <v>0</v>
      </c>
    </row>
    <row r="33" spans="1:5">
      <c r="A33" s="9" t="s">
        <v>119</v>
      </c>
      <c r="B33" s="8" t="str">
        <f>IF(Languages!$B$1=1,Languages!A40,IF(Languages!$B$1=2,Languages!B40,IF(Languages!$B$1=3,Languages!C40)))</f>
        <v>ƏDV</v>
      </c>
      <c r="C33" s="8"/>
      <c r="D33" s="85" t="str">
        <f>IF(Languages!$C$19&lt;3,E33*Load!$F$19,"")</f>
        <v/>
      </c>
      <c r="E33" s="85">
        <f>Load!C35</f>
        <v>0</v>
      </c>
    </row>
    <row r="34" spans="1:5">
      <c r="A34" s="9" t="s">
        <v>119</v>
      </c>
      <c r="B34" s="8" t="str">
        <f>IF(Languages!$B$1=1,Languages!A41,IF(Languages!$B$1=2,Languages!B41,IF(Languages!$B$1=3,Languages!C41)))</f>
        <v>Mənbədən vergi</v>
      </c>
      <c r="C34" s="8"/>
      <c r="D34" s="85" t="str">
        <f>IF(Languages!$C$19&lt;3,E34*Load!$F$19,"")</f>
        <v/>
      </c>
      <c r="E34" s="85">
        <f>Load!C36</f>
        <v>0</v>
      </c>
    </row>
    <row r="35" spans="1:5">
      <c r="A35" s="9" t="s">
        <v>119</v>
      </c>
      <c r="B35" s="8" t="str">
        <f>IF(Languages!$B$1=1,Languages!A42,IF(Languages!$B$1=2,Languages!B42,IF(Languages!$B$1=3,Languages!C42)))</f>
        <v>Sair</v>
      </c>
      <c r="C35" s="8"/>
      <c r="D35" s="85" t="str">
        <f>IF(Languages!$C$19&lt;3,E35*Load!$F$19,"")</f>
        <v/>
      </c>
      <c r="E35" s="85">
        <f>Load!C37</f>
        <v>0</v>
      </c>
    </row>
    <row r="36" spans="1:5">
      <c r="A36" s="8" t="str">
        <f>IF(Languages!$B$1=1,Languages!A43,IF(Languages!$B$1=2,Languages!B43,IF(Languages!$B$1=3,Languages!C43)))</f>
        <v>Sığorta xərcləri</v>
      </c>
      <c r="B36" s="8"/>
      <c r="C36" s="8"/>
      <c r="D36" s="85" t="str">
        <f>IF(Languages!$C$19&lt;3,E36*Load!$F$19,"")</f>
        <v/>
      </c>
      <c r="E36" s="85">
        <f>IF(Languages!B165=2,Load!C38*(Load!C7/12),0)</f>
        <v>0</v>
      </c>
    </row>
    <row r="37" spans="1:5">
      <c r="A37" s="8" t="str">
        <f>IF(Languages!$B$1=1,Languages!A44,IF(Languages!$B$1=2,Languages!B44,IF(Languages!$B$1=3,Languages!C44)))</f>
        <v>Qeydiyyat xərcləri</v>
      </c>
      <c r="B37" s="8"/>
      <c r="C37" s="8"/>
      <c r="D37" s="85" t="str">
        <f>IF(Languages!$C$19&lt;3,E37*Load!$F$19,"")</f>
        <v/>
      </c>
      <c r="E37" s="85">
        <f>Load!C39</f>
        <v>0</v>
      </c>
    </row>
    <row r="38" spans="1:5">
      <c r="A38" s="8" t="str">
        <f>IF(Languages!$B$1=1,Languages!A45,IF(Languages!$B$1=2,Languages!B45,IF(Languages!$B$1=3,Languages!C45)))</f>
        <v>Kredit xərcləri</v>
      </c>
      <c r="B38" s="8"/>
      <c r="C38" s="8"/>
      <c r="D38" s="85" t="str">
        <f>IF(Languages!$C$19&lt;3,E38*Load!$F$19,"")</f>
        <v/>
      </c>
      <c r="E38" s="85">
        <f>Load!C40</f>
        <v>0</v>
      </c>
    </row>
    <row r="39" spans="1:5">
      <c r="A39" s="8" t="str">
        <f>IF(Languages!$B$1=1,Languages!A46,IF(Languages!$B$1=2,Languages!B46,IF(Languages!$B$1=3,Languages!C46)))</f>
        <v>Servis haqqı</v>
      </c>
      <c r="B39" s="8"/>
      <c r="C39" s="8"/>
      <c r="D39" s="85" t="str">
        <f>IF(Languages!$C$19&lt;3,E39*Load!$F$19,"")</f>
        <v/>
      </c>
      <c r="E39" s="85">
        <f>Load!C41</f>
        <v>0</v>
      </c>
    </row>
    <row r="40" spans="1:5">
      <c r="A40" s="8" t="str">
        <f>IF(Languages!$B$1=1,Languages!A48,IF(Languages!$B$1=2,Languages!B47,IF(Languages!$B$1=3,Languages!C47)))</f>
        <v>Diqər xərclər</v>
      </c>
      <c r="B40" s="8"/>
      <c r="C40" s="8"/>
      <c r="D40" s="85" t="str">
        <f>IF(Languages!$C$19&lt;3,E40*Load!$F$19,"")</f>
        <v/>
      </c>
      <c r="E40" s="85">
        <f>Load!C42</f>
        <v>0</v>
      </c>
    </row>
    <row r="41" spans="1:5">
      <c r="A41" s="8" t="str">
        <f>IF(Languages!$B$1=1,Languages!A47,IF(Languages!$B$1=2,Languages!B48,IF(Languages!$B$1=3,Languages!C48)))</f>
        <v>Monitorinq xərcləri</v>
      </c>
      <c r="B41" s="8"/>
      <c r="C41" s="8"/>
      <c r="D41" s="85" t="str">
        <f>IF(Languages!$C$19&lt;3,E41*Load!$F$19,"")</f>
        <v/>
      </c>
      <c r="E41" s="85">
        <f>Load!C43</f>
        <v>0</v>
      </c>
    </row>
    <row r="42" spans="1:5" ht="13.5" thickBot="1">
      <c r="A42" s="8"/>
      <c r="B42" s="8"/>
      <c r="C42" s="8"/>
      <c r="D42" s="85" t="str">
        <f>IF(Languages!$C$19&lt;3,E42*Load!$F$19,"")</f>
        <v/>
      </c>
      <c r="E42" s="85">
        <f>Load!C44</f>
        <v>0</v>
      </c>
    </row>
    <row r="43" spans="1:5" ht="13.5" thickBot="1">
      <c r="A43" s="8" t="str">
        <f>Languages!$B$136</f>
        <v>Cəmi</v>
      </c>
      <c r="B43" s="8"/>
      <c r="C43" s="8"/>
      <c r="D43" s="86" t="str">
        <f>IF(Languages!$C$19&lt;3,SUM(D19:D39),"")</f>
        <v/>
      </c>
      <c r="E43" s="86">
        <f>SUM(E19:E39)</f>
        <v>52000</v>
      </c>
    </row>
    <row r="44" spans="1:5">
      <c r="A44" s="6"/>
      <c r="B44" s="6"/>
      <c r="C44" s="6"/>
      <c r="D44" s="89"/>
      <c r="E44" s="89"/>
    </row>
    <row r="45" spans="1:5">
      <c r="A45" s="5" t="str">
        <f>IF(Languages!$B$1=1,Languages!A131,IF(Languages!$B$1=2,Languages!B131,IF(Languages!$B$1=3,Languages!C131)))</f>
        <v>Lizinq müqaviləsi üzrə müştərinin xərcləri</v>
      </c>
      <c r="B45" s="5"/>
      <c r="C45" s="5"/>
      <c r="D45" s="89"/>
      <c r="E45" s="89"/>
    </row>
    <row r="46" spans="1:5">
      <c r="A46" s="8" t="str">
        <f>IF(Languages!$B$1=1,Languages!A43,IF(Languages!$B$1=2,Languages!B43,IF(Languages!$B$1=3,Languages!C43)))</f>
        <v>Sığorta xərcləri</v>
      </c>
      <c r="B46" s="8"/>
      <c r="C46" s="8"/>
      <c r="D46" s="91" t="str">
        <f>IF(Languages!$C$19&lt;3,E46*Load!$F$19,"")</f>
        <v/>
      </c>
      <c r="E46" s="91">
        <f>IF(Languages!B165=1,Load!C38*(Load!C7/12),0)</f>
        <v>0</v>
      </c>
    </row>
    <row r="47" spans="1:5">
      <c r="A47" s="8" t="str">
        <f>IF(Languages!$B$1=1,Languages!A35,IF(Languages!$B$1=2,Languages!B35,IF(Languages!$B$1=3,Languages!C35)))</f>
        <v>Bank köçürməsi xərcləri</v>
      </c>
      <c r="B47" s="8"/>
      <c r="C47" s="8"/>
      <c r="D47" s="91" t="str">
        <f>IF(Languages!$C$19&lt;3,E47*Load!$F$19,"")</f>
        <v/>
      </c>
      <c r="E47" s="91">
        <f>IF(Languages!B165=1,Load!C30,0)</f>
        <v>0</v>
      </c>
    </row>
    <row r="48" spans="1:5">
      <c r="A48" s="8" t="str">
        <f>IF(Languages!$B$1=1,Languages!A36,IF(Languages!$B$1=2,Languages!B36,IF(Languages!$B$1=3,Languages!C36)))</f>
        <v>Valyuta mübadiləsi</v>
      </c>
      <c r="B48" s="8"/>
      <c r="C48" s="8"/>
      <c r="D48" s="91" t="str">
        <f>IF(Languages!$C$19&lt;3,E48*Load!$F$19,"")</f>
        <v/>
      </c>
      <c r="E48" s="91">
        <f>IF(Languages!B165=1,Load!C31,0)</f>
        <v>0</v>
      </c>
    </row>
    <row r="49" spans="1:5">
      <c r="A49" s="8" t="str">
        <f>IF(Languages!$B$1=1,Languages!A28,IF(Languages!$B$1=2,Languages!B28,IF(Languages!$B$1=3,Languages!C28)))</f>
        <v>Gömrük xərcləri</v>
      </c>
      <c r="B49" s="8"/>
      <c r="C49" s="8"/>
      <c r="D49" s="91" t="str">
        <f>IF(Languages!$C$19&lt;3,E49*Load!$F$19,"")</f>
        <v/>
      </c>
      <c r="E49" s="91">
        <v>0</v>
      </c>
    </row>
    <row r="50" spans="1:5" ht="13.5" thickBot="1">
      <c r="A50" s="8" t="str">
        <f>IF(Languages!$B$1=1,Languages!A48,IF(Languages!$B$1=2,Languages!B47,IF(Languages!$B$1=3,Languages!C47)))</f>
        <v>Diqər xərclər</v>
      </c>
      <c r="B50" s="8"/>
      <c r="C50" s="8"/>
      <c r="D50" s="91" t="str">
        <f>IF(Languages!$C$19&lt;3,E50*Load!$F$19,"")</f>
        <v/>
      </c>
      <c r="E50" s="91">
        <v>0</v>
      </c>
    </row>
    <row r="51" spans="1:5" ht="13.5" thickBot="1">
      <c r="A51" s="8" t="str">
        <f>Languages!$B$136</f>
        <v>Cəmi</v>
      </c>
      <c r="B51" s="8"/>
      <c r="C51" s="8"/>
      <c r="D51" s="93" t="str">
        <f>IF(Languages!$C$19&lt;3,SUM(D46:D50),"")</f>
        <v/>
      </c>
      <c r="E51" s="92">
        <f>SUM(E46:E50)</f>
        <v>0</v>
      </c>
    </row>
    <row r="52" spans="1:5" ht="13.5" thickBot="1">
      <c r="A52" s="6"/>
      <c r="B52" s="6"/>
      <c r="C52" s="6"/>
      <c r="D52" s="90"/>
      <c r="E52" s="90"/>
    </row>
    <row r="53" spans="1:5" ht="13.5" thickBot="1">
      <c r="A53" s="5" t="str">
        <f>IF(Languages!$B$1=1,Languages!A133,IF(Languages!$B$1=2,Languages!B133,IF(Languages!$B$1=3,Languages!C133)))</f>
        <v>Xərclər cəmi</v>
      </c>
      <c r="B53" s="5"/>
      <c r="C53" s="5"/>
      <c r="D53" s="93" t="str">
        <f>IF(Languages!$C$19&lt;3,SUM(D43+D51),"")</f>
        <v/>
      </c>
      <c r="E53" s="92">
        <f>SUM(E43+E51)</f>
        <v>52000</v>
      </c>
    </row>
    <row r="54" spans="1:5">
      <c r="A54" s="6"/>
      <c r="B54" s="6"/>
      <c r="C54" s="6"/>
      <c r="D54" s="90"/>
      <c r="E54" s="90"/>
    </row>
    <row r="55" spans="1:5">
      <c r="A55" s="6"/>
      <c r="B55" s="6"/>
      <c r="C55" s="6"/>
      <c r="D55" s="94"/>
      <c r="E55" s="94"/>
    </row>
    <row r="56" spans="1:5">
      <c r="A56" s="5" t="str">
        <f>IF(Languages!$B$1=1,Languages!A132,IF(Languages!$B$1=2,Languages!B132,IF(Languages!$B$1=3,Languages!C132)))</f>
        <v>Lizinq müqaviləsi üzrə AGLizinq şirkətinin gəliri</v>
      </c>
      <c r="B56" s="5"/>
      <c r="C56" s="5"/>
      <c r="D56" s="4"/>
      <c r="E56" s="4"/>
    </row>
    <row r="57" spans="1:5" ht="13.5" thickBot="1">
      <c r="D57" s="4"/>
      <c r="E57" s="4"/>
    </row>
    <row r="58" spans="1:5" ht="13.5" thickBot="1">
      <c r="A58" s="8" t="str">
        <f>IF(Languages!$B$1=1,Languages!A139,IF(Languages!$B$1=2,Languages!B139,IF(Languages!$B$1=3,Languages!C139)))</f>
        <v>Mükafat</v>
      </c>
      <c r="B58" s="8"/>
      <c r="C58" s="8"/>
      <c r="D58" s="86" t="str">
        <f>IF(Languages!$C$19&lt;3,D14-D53,"")</f>
        <v/>
      </c>
      <c r="E58" s="86">
        <f>E14-E53</f>
        <v>21052.528349420987</v>
      </c>
    </row>
  </sheetData>
  <customSheetViews>
    <customSheetView guid="{2D8FE04E-10B5-4EAA-93D2-EE669C206AFD}">
      <selection activeCell="E46" sqref="E46"/>
      <pageMargins left="0.75" right="0.75" top="1" bottom="1" header="0.5" footer="0.5"/>
      <pageSetup paperSize="9" scale="90" orientation="portrait" horizontalDpi="300" verticalDpi="300" r:id="rId1"/>
      <headerFooter alignWithMargins="0"/>
    </customSheetView>
    <customSheetView guid="{5171270A-F9AF-4D41-A7C6-60AFF57C569E}">
      <selection activeCell="E46" sqref="E46"/>
      <pageMargins left="0.75" right="0.75" top="1" bottom="1" header="0.5" footer="0.5"/>
      <pageSetup paperSize="9" scale="90" orientation="portrait" horizontalDpi="300" verticalDpi="300" r:id="rId2"/>
      <headerFooter alignWithMargins="0"/>
    </customSheetView>
    <customSheetView guid="{13FA8F4C-0951-4875-9D44-4989C5CEBB01}">
      <selection activeCell="E46" sqref="E46"/>
      <pageMargins left="0.75" right="0.75" top="1" bottom="1" header="0.5" footer="0.5"/>
      <pageSetup paperSize="9" scale="90" orientation="portrait" horizontalDpi="300" verticalDpi="300" r:id="rId3"/>
      <headerFooter alignWithMargins="0"/>
    </customSheetView>
    <customSheetView guid="{77B961DF-431A-4785-A57B-FF1BA0586569}" showRuler="0">
      <selection activeCell="E43" sqref="E43"/>
      <pageMargins left="0.75" right="0.75" top="1" bottom="1" header="0.5" footer="0.5"/>
      <pageSetup paperSize="9" scale="90" orientation="portrait" horizontalDpi="300" verticalDpi="300" r:id="rId4"/>
      <headerFooter alignWithMargins="0"/>
    </customSheetView>
    <customSheetView guid="{AD887635-810A-407C-BA16-5AFA4A800B29}" showRuler="0">
      <selection activeCell="E43" sqref="E43"/>
      <pageMargins left="0.75" right="0.75" top="1" bottom="1" header="0.5" footer="0.5"/>
      <pageSetup paperSize="9" scale="90" orientation="portrait" horizontalDpi="300" verticalDpi="300" r:id="rId5"/>
      <headerFooter alignWithMargins="0"/>
    </customSheetView>
    <customSheetView guid="{C56ABC15-C776-4280-9985-F20AC3F66C8A}">
      <selection activeCell="E46" sqref="E46"/>
      <pageMargins left="0.75" right="0.75" top="1" bottom="1" header="0.5" footer="0.5"/>
      <pageSetup paperSize="9" scale="90" orientation="portrait" horizontalDpi="300" verticalDpi="300" r:id="rId6"/>
      <headerFooter alignWithMargins="0"/>
    </customSheetView>
  </customSheetViews>
  <phoneticPr fontId="2" type="noConversion"/>
  <pageMargins left="0.75" right="0.75" top="1" bottom="1" header="0.5" footer="0.5"/>
  <pageSetup paperSize="9" scale="90" orientation="portrait" horizontalDpi="300" verticalDpi="300" r:id="rId7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G78"/>
  <sheetViews>
    <sheetView topLeftCell="A13" workbookViewId="0">
      <selection activeCell="A35" sqref="A35"/>
    </sheetView>
  </sheetViews>
  <sheetFormatPr defaultRowHeight="12.75"/>
  <cols>
    <col min="1" max="1" width="3" style="122" bestFit="1" customWidth="1"/>
    <col min="2" max="9" width="9.140625" style="122"/>
    <col min="10" max="10" width="9.140625" style="123"/>
    <col min="11" max="13" width="9.140625" style="122"/>
    <col min="14" max="14" width="10.140625" style="122" bestFit="1" customWidth="1"/>
    <col min="15" max="15" width="10.140625" style="122" customWidth="1"/>
    <col min="16" max="16" width="10.140625" style="126" customWidth="1"/>
    <col min="17" max="19" width="9.140625" style="126"/>
    <col min="20" max="21" width="9.140625" style="122"/>
    <col min="22" max="22" width="3" style="122" bestFit="1" customWidth="1"/>
    <col min="23" max="24" width="9.140625" style="122"/>
    <col min="25" max="25" width="10.140625" style="122" bestFit="1" customWidth="1"/>
    <col min="26" max="26" width="3" style="122" bestFit="1" customWidth="1"/>
    <col min="27" max="30" width="9.140625" style="122"/>
    <col min="31" max="31" width="10.140625" style="122" bestFit="1" customWidth="1"/>
    <col min="32" max="16384" width="9.140625" style="122"/>
  </cols>
  <sheetData>
    <row r="1" spans="1:33">
      <c r="A1" s="122">
        <v>1</v>
      </c>
      <c r="G1" s="123" t="str">
        <f>MID(Load!C12,1,2)</f>
        <v>02</v>
      </c>
      <c r="H1" s="124" t="str">
        <f>MID(Load!C12,4,2)</f>
        <v>01</v>
      </c>
      <c r="I1" s="123" t="str">
        <f>MID(Load!C12,7,2)</f>
        <v>15</v>
      </c>
      <c r="N1" s="125"/>
      <c r="O1" s="125"/>
      <c r="P1" s="126" t="s">
        <v>254</v>
      </c>
      <c r="Q1" s="126" t="s">
        <v>135</v>
      </c>
      <c r="R1" s="126" t="s">
        <v>103</v>
      </c>
      <c r="S1" s="126" t="s">
        <v>136</v>
      </c>
      <c r="V1" s="127">
        <v>1</v>
      </c>
      <c r="W1" s="127" t="str">
        <f>IF(Load!$C$7=A1,Languages!$B$150,"")</f>
        <v/>
      </c>
      <c r="X1" s="128" t="str">
        <f>CONCATENATE(W1,W2,W3,W4,W5,W6,W7,W8,W9,W10,)</f>
        <v/>
      </c>
      <c r="Y1" s="127" t="str">
        <f>CONCATENATE(X1,X2,X3,X4,X5,X6)</f>
        <v>Месяцев</v>
      </c>
      <c r="Z1" s="127">
        <v>1</v>
      </c>
      <c r="AA1" s="127" t="str">
        <f>IF(Load!$C$10=A1,Languages!$B$150,"")</f>
        <v/>
      </c>
      <c r="AB1" s="128" t="str">
        <f>CONCATENATE(AA1,AA2,AA3,AA4,AA5,AA6,AA7,AA8,AA9,AA10,)</f>
        <v/>
      </c>
      <c r="AC1" s="127" t="str">
        <f>CONCATENATE(AB1,AB2,AB3,AB4,AB5,AB6)</f>
        <v/>
      </c>
      <c r="AE1" s="122">
        <f>Load!D20-Load!E20</f>
        <v>0</v>
      </c>
      <c r="AF1" s="122">
        <f>(Load!D20-Load!E20-'Mirror for payments'!G20)/'Mirror for payments'!E14*'Mirror for payments'!E15</f>
        <v>0</v>
      </c>
    </row>
    <row r="2" spans="1:33">
      <c r="A2" s="122">
        <v>2</v>
      </c>
      <c r="B2" s="129" t="str">
        <f>IF(Load!$C$7=A2,N$6,(CONCATENATE(F2,".",M2)))</f>
        <v>02.02.15</v>
      </c>
      <c r="C2" s="129"/>
      <c r="D2" s="129"/>
      <c r="E2" s="129"/>
      <c r="F2" s="130" t="str">
        <f>IF(G2="29.02","28.02",IF(G2="30.02","28.02",IF(G2="31.02","28.02",G2)))</f>
        <v>02.02</v>
      </c>
      <c r="G2" s="131" t="str">
        <f>CONCATENATE(G$1,".",J2)</f>
        <v>02.02</v>
      </c>
      <c r="H2" s="132">
        <f>IF(H1="12",1,H1+1)</f>
        <v>2</v>
      </c>
      <c r="I2" s="122">
        <f>IF(H2&lt;=9,0,"")</f>
        <v>0</v>
      </c>
      <c r="J2" s="123" t="str">
        <f>CONCATENATE(I2,H2)</f>
        <v>02</v>
      </c>
      <c r="K2" s="123" t="str">
        <f>IF(H1="12",I1+1,I1)</f>
        <v>15</v>
      </c>
      <c r="L2" s="122" t="str">
        <f>IF(K2&lt;=9,0,"")</f>
        <v/>
      </c>
      <c r="M2" s="122" t="str">
        <f>CONCATENATE(L2,K2)</f>
        <v>15</v>
      </c>
      <c r="N2" s="126" t="str">
        <f>Load!C13</f>
        <v>02.12.17</v>
      </c>
      <c r="O2" s="133">
        <v>1</v>
      </c>
      <c r="P2" s="126">
        <f>IF(Load!$C$7&gt;=A1,Load!$E$20*(100%-Load!C15),0)</f>
        <v>52000</v>
      </c>
      <c r="Q2" s="126">
        <f>IF(Load!$C$7&gt;=A1,Dates!$U$2,0)</f>
        <v>1985.9035652616938</v>
      </c>
      <c r="R2" s="126">
        <f>P2*Load!$C$8/12</f>
        <v>953.33333333333337</v>
      </c>
      <c r="S2" s="126">
        <f>IF(Load!C10&gt;=1,Load!C11,IF(Load!$C$7&gt;=A1,Q2-R2,0))</f>
        <v>1032.5702319283605</v>
      </c>
      <c r="T2" s="113"/>
      <c r="U2" s="134">
        <f>IF('Mirror for payments'!E8&gt;0,-PMT(Load!C8/12,Load!C7-Load!C10,('Mirror for payments'!E8-(Load!C11*Load!C10))))</f>
        <v>1985.9035652616938</v>
      </c>
      <c r="V2" s="134">
        <v>2</v>
      </c>
      <c r="W2" s="127" t="str">
        <f>IF(Load!$C$7=A2,Languages!$B$151,"")</f>
        <v/>
      </c>
      <c r="X2" s="128" t="str">
        <f>CONCATENATE(W11,W12,W13,W14,W15,W16,W17,W18,W19,W20,)</f>
        <v/>
      </c>
      <c r="Y2" s="131"/>
      <c r="Z2" s="134">
        <v>2</v>
      </c>
      <c r="AA2" s="127" t="str">
        <f>IF(Load!$C$10=A2,Languages!$B$151,"")</f>
        <v/>
      </c>
      <c r="AB2" s="128" t="str">
        <f>CONCATENATE(AA11,AA12,AA13,AA14,AA15,AA16,AA17,AA18,AA19,AA20,)</f>
        <v/>
      </c>
      <c r="AC2" s="135"/>
      <c r="AD2" s="135"/>
      <c r="AE2" s="126">
        <f>AE1-'Mirror for payments'!G20</f>
        <v>0</v>
      </c>
      <c r="AF2" s="135"/>
      <c r="AG2" s="135"/>
    </row>
    <row r="3" spans="1:33">
      <c r="A3" s="122">
        <v>3</v>
      </c>
      <c r="B3" s="129" t="str">
        <f>IF(Load!$C$7=A3,N$6,(CONCATENATE(F3,".",M3)))</f>
        <v>02.03.15</v>
      </c>
      <c r="F3" s="130" t="str">
        <f t="shared" ref="F3:F60" si="0">IF(G3="29.02","28.02",IF(G3="30.02","28.02",IF(G3="31.02","28.02",G3)))</f>
        <v>02.03</v>
      </c>
      <c r="G3" s="131" t="str">
        <f t="shared" ref="G3:G60" si="1">CONCATENATE(G$1,".",J3)</f>
        <v>02.03</v>
      </c>
      <c r="H3" s="136">
        <f>IF(H2=12,1,H2+1)</f>
        <v>3</v>
      </c>
      <c r="I3" s="122">
        <f t="shared" ref="I3:I60" si="2">IF(H3&lt;=9,0,"")</f>
        <v>0</v>
      </c>
      <c r="J3" s="123" t="str">
        <f t="shared" ref="J3:J60" si="3">CONCATENATE(I3,H3)</f>
        <v>03</v>
      </c>
      <c r="K3" s="123" t="str">
        <f>IF(J2="12",K2+1,K2)</f>
        <v>15</v>
      </c>
      <c r="L3" s="122" t="str">
        <f t="shared" ref="L3:L60" si="4">IF(K3&lt;=9,0,"")</f>
        <v/>
      </c>
      <c r="M3" s="122" t="str">
        <f t="shared" ref="M3:M60" si="5">CONCATENATE(L3,K3)</f>
        <v>15</v>
      </c>
      <c r="N3" s="122" t="str">
        <f>MID(N2,1,2)</f>
        <v>02</v>
      </c>
      <c r="O3" s="133">
        <v>2</v>
      </c>
      <c r="P3" s="126">
        <f>IF(Load!$C$7&gt;=A1,P2-Dates!S2,0)</f>
        <v>50967.429768071641</v>
      </c>
      <c r="Q3" s="126">
        <f>IF(Load!$C$7&gt;=A2,Dates!$U$2,0)</f>
        <v>1985.9035652616938</v>
      </c>
      <c r="R3" s="126">
        <f>P3*Load!$C$8/12</f>
        <v>934.40287908131347</v>
      </c>
      <c r="S3" s="126">
        <f>IF(Load!C10&gt;=2,Load!C11,IF(Load!$C$7&gt;=A2,Q3-R3,0))</f>
        <v>1051.5006861803804</v>
      </c>
      <c r="T3" s="131"/>
      <c r="V3" s="127">
        <v>3</v>
      </c>
      <c r="W3" s="127" t="str">
        <f>IF(Load!$C$7=A3,Languages!$B$151,"")</f>
        <v/>
      </c>
      <c r="X3" s="128" t="str">
        <f>CONCATENATE(W21,W22,W23,W24,W25,W26,W27,W28,W29,W30,)</f>
        <v/>
      </c>
      <c r="Y3" s="137"/>
      <c r="Z3" s="127">
        <v>3</v>
      </c>
      <c r="AA3" s="127" t="str">
        <f>IF(Load!$C$10=A3,Languages!$B$151,"")</f>
        <v/>
      </c>
      <c r="AB3" s="128" t="str">
        <f>CONCATENATE(AA21,AA22,AA23,AA24,AA25,AA26,AA27,AA28,AA29,AA30,)</f>
        <v/>
      </c>
      <c r="AC3" s="135"/>
      <c r="AD3" s="135"/>
      <c r="AE3" s="135"/>
      <c r="AF3" s="135"/>
      <c r="AG3" s="135"/>
    </row>
    <row r="4" spans="1:33">
      <c r="A4" s="122">
        <v>4</v>
      </c>
      <c r="B4" s="129" t="str">
        <f>IF(Load!$C$7=A4,N$6,(CONCATENATE(F4,".",M4)))</f>
        <v>02.04.15</v>
      </c>
      <c r="F4" s="130" t="str">
        <f t="shared" si="0"/>
        <v>02.04</v>
      </c>
      <c r="G4" s="131" t="str">
        <f t="shared" si="1"/>
        <v>02.04</v>
      </c>
      <c r="H4" s="136">
        <f>IF(H3=12,1,H3+1)</f>
        <v>4</v>
      </c>
      <c r="I4" s="122">
        <f t="shared" si="2"/>
        <v>0</v>
      </c>
      <c r="J4" s="123" t="str">
        <f t="shared" si="3"/>
        <v>04</v>
      </c>
      <c r="K4" s="123" t="str">
        <f t="shared" ref="K4:K60" si="6">IF(J3="12",K3+1,K3)</f>
        <v>15</v>
      </c>
      <c r="L4" s="122" t="str">
        <f t="shared" si="4"/>
        <v/>
      </c>
      <c r="M4" s="122" t="str">
        <f t="shared" si="5"/>
        <v>15</v>
      </c>
      <c r="N4" s="122" t="str">
        <f>MID(N2,4,2)</f>
        <v>12</v>
      </c>
      <c r="O4" s="133">
        <v>3</v>
      </c>
      <c r="P4" s="126">
        <f>IF(Load!$C$7&gt;=A2,P3-Dates!S3,0)</f>
        <v>49915.929081891263</v>
      </c>
      <c r="Q4" s="126">
        <f>IF(Load!$C$7&gt;=A3,Dates!$U$2,0)</f>
        <v>1985.9035652616938</v>
      </c>
      <c r="R4" s="126">
        <f>P4*Load!$C$8/12</f>
        <v>915.12536650133973</v>
      </c>
      <c r="S4" s="126">
        <f>IF(Load!C10&gt;=3,Load!C11,IF(Load!$C$7&gt;=A3,Q4-R4,0))</f>
        <v>1070.7781987603539</v>
      </c>
      <c r="V4" s="127">
        <v>4</v>
      </c>
      <c r="W4" s="127" t="str">
        <f>IF(Load!$C$7=A4,Languages!$B$151,"")</f>
        <v/>
      </c>
      <c r="X4" s="128" t="str">
        <f>CONCATENATE(W31,W32,W33,W34,W35,W36,W37,W38,W39,W40,)</f>
        <v>Месяцев</v>
      </c>
      <c r="Y4" s="135"/>
      <c r="Z4" s="127">
        <v>4</v>
      </c>
      <c r="AA4" s="127" t="str">
        <f>IF(Load!$C$10=A4,Languages!$B$151,"")</f>
        <v/>
      </c>
      <c r="AB4" s="128" t="str">
        <f>CONCATENATE(AA31,AA32,AA33,AA34,AA35,AA36,AA37,AA38,AA39,AA40,)</f>
        <v/>
      </c>
      <c r="AC4" s="135"/>
      <c r="AD4" s="135"/>
      <c r="AE4" s="135"/>
      <c r="AF4" s="135"/>
      <c r="AG4" s="135"/>
    </row>
    <row r="5" spans="1:33">
      <c r="A5" s="122">
        <v>5</v>
      </c>
      <c r="B5" s="129" t="str">
        <f>IF(Load!$C$7=A5,N$6,(CONCATENATE(F5,".",M5)))</f>
        <v>02.05.15</v>
      </c>
      <c r="F5" s="130" t="str">
        <f t="shared" si="0"/>
        <v>02.05</v>
      </c>
      <c r="G5" s="131" t="str">
        <f t="shared" si="1"/>
        <v>02.05</v>
      </c>
      <c r="H5" s="136">
        <f t="shared" ref="H5:H60" si="7">IF(H4=12,1,H4+1)</f>
        <v>5</v>
      </c>
      <c r="I5" s="122">
        <f t="shared" si="2"/>
        <v>0</v>
      </c>
      <c r="J5" s="123" t="str">
        <f t="shared" si="3"/>
        <v>05</v>
      </c>
      <c r="K5" s="123" t="str">
        <f t="shared" si="6"/>
        <v>15</v>
      </c>
      <c r="L5" s="122" t="str">
        <f t="shared" si="4"/>
        <v/>
      </c>
      <c r="M5" s="122" t="str">
        <f t="shared" si="5"/>
        <v>15</v>
      </c>
      <c r="N5" s="130" t="str">
        <f>MID(N2,7,2)</f>
        <v>17</v>
      </c>
      <c r="O5" s="133">
        <v>4</v>
      </c>
      <c r="P5" s="126">
        <f>IF(Load!$C$7&gt;=A3,P4-Dates!S4,0)</f>
        <v>48845.150883130911</v>
      </c>
      <c r="Q5" s="126">
        <f>IF(Load!$C$7&gt;=A4,Dates!$U$2,0)</f>
        <v>1985.9035652616938</v>
      </c>
      <c r="R5" s="126">
        <f>P5*Load!$C$8/12</f>
        <v>895.49443285740006</v>
      </c>
      <c r="S5" s="126">
        <f>IF(Load!C10&gt;=4,Load!C11,IF(Load!$C$7&gt;=A4,Q5-R5,0))</f>
        <v>1090.4091324042938</v>
      </c>
      <c r="V5" s="127">
        <v>5</v>
      </c>
      <c r="W5" s="127" t="str">
        <f>IF(Load!$C$7=A5,Languages!$B$152,"")</f>
        <v/>
      </c>
      <c r="X5" s="128" t="str">
        <f>CONCATENATE(W41,W42,W43,W44,W45,W46,W47,W48,W49,W50,)</f>
        <v/>
      </c>
      <c r="Y5" s="135"/>
      <c r="Z5" s="127">
        <v>5</v>
      </c>
      <c r="AA5" s="127" t="str">
        <f>IF(Load!$C$10=A5,Languages!$B$152,"")</f>
        <v/>
      </c>
      <c r="AB5" s="128" t="str">
        <f>CONCATENATE(AA41,AA42,AA43,AA44,AA45,AA46,AA47,AA48,AA49,AA50,)</f>
        <v/>
      </c>
      <c r="AC5" s="135"/>
      <c r="AD5" s="135"/>
      <c r="AE5" s="135"/>
      <c r="AF5" s="135"/>
      <c r="AG5" s="135"/>
    </row>
    <row r="6" spans="1:33">
      <c r="A6" s="122">
        <v>6</v>
      </c>
      <c r="B6" s="129" t="str">
        <f>IF(Load!$C$7=A6,N$6,(CONCATENATE(F6,".",M6)))</f>
        <v>02.06.15</v>
      </c>
      <c r="F6" s="130" t="str">
        <f t="shared" si="0"/>
        <v>02.06</v>
      </c>
      <c r="G6" s="131" t="str">
        <f t="shared" si="1"/>
        <v>02.06</v>
      </c>
      <c r="H6" s="136">
        <f t="shared" si="7"/>
        <v>6</v>
      </c>
      <c r="I6" s="122">
        <f t="shared" si="2"/>
        <v>0</v>
      </c>
      <c r="J6" s="123" t="str">
        <f t="shared" si="3"/>
        <v>06</v>
      </c>
      <c r="K6" s="123" t="str">
        <f t="shared" si="6"/>
        <v>15</v>
      </c>
      <c r="L6" s="122" t="str">
        <f t="shared" si="4"/>
        <v/>
      </c>
      <c r="M6" s="122" t="str">
        <f t="shared" si="5"/>
        <v>15</v>
      </c>
      <c r="N6" s="122" t="str">
        <f>CONCATENATE(N3,".",N4,".",N5,)</f>
        <v>02.12.17</v>
      </c>
      <c r="O6" s="133">
        <v>5</v>
      </c>
      <c r="P6" s="126">
        <f>IF(Load!$C$7&gt;=A4,P5-Dates!S5,0)</f>
        <v>47754.741750726615</v>
      </c>
      <c r="Q6" s="126">
        <f>IF(Load!$C$7&gt;=A5,Dates!$U$2,0)</f>
        <v>1985.9035652616938</v>
      </c>
      <c r="R6" s="126">
        <f>P6*Load!$C$8/12</f>
        <v>875.50359876332129</v>
      </c>
      <c r="S6" s="126">
        <f>IF(Load!C10&gt;=5,Load!C11,IF(Load!$C$7&gt;=A5,Q6-R6,0))</f>
        <v>1110.3999664983726</v>
      </c>
      <c r="V6" s="127">
        <v>6</v>
      </c>
      <c r="W6" s="127" t="str">
        <f>IF(Load!$C$7=A6,Languages!$B$152,"")</f>
        <v/>
      </c>
      <c r="X6" s="128" t="str">
        <f>CONCATENATE(W51,W52,W53,W54,W55,W56,W57,W58,W59,W60,)</f>
        <v/>
      </c>
      <c r="Y6" s="135"/>
      <c r="Z6" s="127">
        <v>6</v>
      </c>
      <c r="AA6" s="127" t="str">
        <f>IF(Load!$C$10=A6,Languages!$B$152,"")</f>
        <v/>
      </c>
      <c r="AB6" s="128" t="str">
        <f>CONCATENATE(AA51,AA52,AA53,AA54,AA55,AA56,AA57,AA58,AA59,AA60,)</f>
        <v/>
      </c>
      <c r="AC6" s="135"/>
      <c r="AD6" s="135"/>
      <c r="AE6" s="135"/>
      <c r="AF6" s="135"/>
      <c r="AG6" s="135"/>
    </row>
    <row r="7" spans="1:33">
      <c r="A7" s="122">
        <v>7</v>
      </c>
      <c r="B7" s="129" t="str">
        <f>IF(Load!$C$7=A7,N$6,(CONCATENATE(F7,".",M7)))</f>
        <v>02.07.15</v>
      </c>
      <c r="F7" s="130" t="str">
        <f t="shared" si="0"/>
        <v>02.07</v>
      </c>
      <c r="G7" s="131" t="str">
        <f t="shared" si="1"/>
        <v>02.07</v>
      </c>
      <c r="H7" s="136">
        <f t="shared" si="7"/>
        <v>7</v>
      </c>
      <c r="I7" s="122">
        <f t="shared" si="2"/>
        <v>0</v>
      </c>
      <c r="J7" s="123" t="str">
        <f t="shared" si="3"/>
        <v>07</v>
      </c>
      <c r="K7" s="123" t="str">
        <f t="shared" si="6"/>
        <v>15</v>
      </c>
      <c r="L7" s="122" t="str">
        <f t="shared" si="4"/>
        <v/>
      </c>
      <c r="M7" s="122" t="str">
        <f t="shared" si="5"/>
        <v>15</v>
      </c>
      <c r="O7" s="133">
        <v>6</v>
      </c>
      <c r="P7" s="126">
        <f>IF(Load!$C$7&gt;=A5,P6-Dates!S6,0)</f>
        <v>46644.341784228243</v>
      </c>
      <c r="Q7" s="126">
        <f>IF(Load!$C$7&gt;=A6,Dates!$U$2,0)</f>
        <v>1985.9035652616938</v>
      </c>
      <c r="R7" s="126">
        <f>P7*Load!$C$8/12</f>
        <v>855.14626604418447</v>
      </c>
      <c r="S7" s="126">
        <f>IF(Load!C10&gt;=6,Load!C11,IF(Load!$C$7&gt;=A6,Q7-R7,0))</f>
        <v>1130.7572992175092</v>
      </c>
      <c r="V7" s="134">
        <v>7</v>
      </c>
      <c r="W7" s="127" t="str">
        <f>IF(Load!$C$7=A7,Languages!$B$152,"")</f>
        <v/>
      </c>
      <c r="X7" s="131"/>
      <c r="Y7" s="135"/>
      <c r="Z7" s="134">
        <v>7</v>
      </c>
      <c r="AA7" s="127" t="str">
        <f>IF(Load!$C$10=A7,Languages!$B$152,"")</f>
        <v/>
      </c>
      <c r="AB7" s="135"/>
      <c r="AC7" s="135"/>
      <c r="AD7" s="135"/>
      <c r="AE7" s="135"/>
      <c r="AF7" s="135"/>
      <c r="AG7" s="135"/>
    </row>
    <row r="8" spans="1:33">
      <c r="A8" s="122">
        <v>8</v>
      </c>
      <c r="B8" s="129" t="str">
        <f>IF(Load!$C$7=A8,N$6,(CONCATENATE(F8,".",M8)))</f>
        <v>02.08.15</v>
      </c>
      <c r="F8" s="130" t="str">
        <f t="shared" si="0"/>
        <v>02.08</v>
      </c>
      <c r="G8" s="131" t="str">
        <f t="shared" si="1"/>
        <v>02.08</v>
      </c>
      <c r="H8" s="136">
        <f t="shared" si="7"/>
        <v>8</v>
      </c>
      <c r="I8" s="122">
        <f t="shared" si="2"/>
        <v>0</v>
      </c>
      <c r="J8" s="123" t="str">
        <f t="shared" si="3"/>
        <v>08</v>
      </c>
      <c r="K8" s="123" t="str">
        <f t="shared" si="6"/>
        <v>15</v>
      </c>
      <c r="L8" s="122" t="str">
        <f t="shared" si="4"/>
        <v/>
      </c>
      <c r="M8" s="122" t="str">
        <f t="shared" si="5"/>
        <v>15</v>
      </c>
      <c r="O8" s="133">
        <v>7</v>
      </c>
      <c r="P8" s="126">
        <f>IF(Load!$C$7&gt;=A6,P7-Dates!S7,0)</f>
        <v>45513.584485010731</v>
      </c>
      <c r="Q8" s="126">
        <f>IF(Load!$C$7&gt;=A7,Dates!$U$2,0)</f>
        <v>1985.9035652616938</v>
      </c>
      <c r="R8" s="126">
        <f>P8*Load!$C$8/12</f>
        <v>834.41571555853</v>
      </c>
      <c r="S8" s="126">
        <f>IF(Load!$C$7&gt;=A7,Q8-R8,0)</f>
        <v>1151.4878497031636</v>
      </c>
      <c r="V8" s="127">
        <v>8</v>
      </c>
      <c r="W8" s="127" t="str">
        <f>IF(Load!$C$7=A8,Languages!$B$152,"")</f>
        <v/>
      </c>
      <c r="X8" s="131"/>
      <c r="Y8" s="135"/>
      <c r="Z8" s="127">
        <v>8</v>
      </c>
      <c r="AA8" s="127" t="str">
        <f>IF(Load!$C$10=A8,Languages!$B$152,"")</f>
        <v/>
      </c>
      <c r="AB8" s="138"/>
      <c r="AC8" s="135"/>
      <c r="AD8" s="135"/>
      <c r="AE8" s="135"/>
      <c r="AF8" s="135"/>
      <c r="AG8" s="135"/>
    </row>
    <row r="9" spans="1:33">
      <c r="A9" s="122">
        <v>9</v>
      </c>
      <c r="B9" s="129" t="str">
        <f>IF(Load!$C$7=A9,N$6,(CONCATENATE(F9,".",M9)))</f>
        <v>02.09.15</v>
      </c>
      <c r="F9" s="130" t="str">
        <f t="shared" si="0"/>
        <v>02.09</v>
      </c>
      <c r="G9" s="131" t="str">
        <f t="shared" si="1"/>
        <v>02.09</v>
      </c>
      <c r="H9" s="136">
        <f>IF(H8=12,1,H8+1)</f>
        <v>9</v>
      </c>
      <c r="I9" s="122">
        <f t="shared" si="2"/>
        <v>0</v>
      </c>
      <c r="J9" s="123" t="str">
        <f t="shared" si="3"/>
        <v>09</v>
      </c>
      <c r="K9" s="123" t="str">
        <f t="shared" si="6"/>
        <v>15</v>
      </c>
      <c r="L9" s="122" t="str">
        <f t="shared" si="4"/>
        <v/>
      </c>
      <c r="M9" s="122" t="str">
        <f t="shared" si="5"/>
        <v>15</v>
      </c>
      <c r="O9" s="133">
        <v>8</v>
      </c>
      <c r="P9" s="126">
        <f>IF(Load!$C$7&gt;=A7,P8-Dates!S8,0)</f>
        <v>44362.096635307571</v>
      </c>
      <c r="Q9" s="126">
        <f>IF(Load!$C$7&gt;=A8,Dates!$U$2,0)</f>
        <v>1985.9035652616938</v>
      </c>
      <c r="R9" s="126">
        <f>P9*Load!$C$8/12</f>
        <v>813.3051049806387</v>
      </c>
      <c r="S9" s="126">
        <f>IF(Load!$C$7&gt;=A8,Q9-R9,0)</f>
        <v>1172.5984602810549</v>
      </c>
      <c r="V9" s="127">
        <v>9</v>
      </c>
      <c r="W9" s="127" t="str">
        <f>IF(Load!$C$7=A9,Languages!$B$152,"")</f>
        <v/>
      </c>
      <c r="X9" s="131"/>
      <c r="Y9" s="135"/>
      <c r="Z9" s="127">
        <v>9</v>
      </c>
      <c r="AA9" s="127" t="str">
        <f>IF(Load!$C$10=A9,Languages!$B$152,"")</f>
        <v/>
      </c>
      <c r="AB9" s="135"/>
      <c r="AC9" s="135"/>
      <c r="AD9" s="135"/>
      <c r="AE9" s="135"/>
      <c r="AF9" s="135"/>
      <c r="AG9" s="135"/>
    </row>
    <row r="10" spans="1:33">
      <c r="A10" s="122">
        <v>10</v>
      </c>
      <c r="B10" s="129" t="str">
        <f>IF(Load!$C$7=A10,N$6,(CONCATENATE(F10,".",M10)))</f>
        <v>02.10.15</v>
      </c>
      <c r="F10" s="130" t="str">
        <f t="shared" si="0"/>
        <v>02.10</v>
      </c>
      <c r="G10" s="131" t="str">
        <f t="shared" si="1"/>
        <v>02.10</v>
      </c>
      <c r="H10" s="136">
        <f>IF(H9=12,1,H9+1)</f>
        <v>10</v>
      </c>
      <c r="I10" s="122" t="str">
        <f t="shared" si="2"/>
        <v/>
      </c>
      <c r="J10" s="123" t="str">
        <f t="shared" si="3"/>
        <v>10</v>
      </c>
      <c r="K10" s="123" t="str">
        <f t="shared" si="6"/>
        <v>15</v>
      </c>
      <c r="L10" s="122" t="str">
        <f t="shared" si="4"/>
        <v/>
      </c>
      <c r="M10" s="122" t="str">
        <f t="shared" si="5"/>
        <v>15</v>
      </c>
      <c r="O10" s="133">
        <v>9</v>
      </c>
      <c r="P10" s="126">
        <f>IF(Load!$C$7&gt;=A8,P9-Dates!S9,0)</f>
        <v>43189.498175026514</v>
      </c>
      <c r="Q10" s="126">
        <f>IF(Load!$C$7&gt;=A9,Dates!$U$2,0)</f>
        <v>1985.9035652616938</v>
      </c>
      <c r="R10" s="126">
        <f>P10*Load!$C$8/12</f>
        <v>791.80746654215272</v>
      </c>
      <c r="S10" s="126">
        <f>IF(Load!$C$7&gt;=A9,Q10-R10,0)</f>
        <v>1194.096098719541</v>
      </c>
      <c r="V10" s="127">
        <v>10</v>
      </c>
      <c r="W10" s="127" t="str">
        <f>IF(Load!$C$7=A10,Languages!$B$152,"")</f>
        <v/>
      </c>
      <c r="X10" s="131"/>
      <c r="Y10" s="135"/>
      <c r="Z10" s="127">
        <v>10</v>
      </c>
      <c r="AA10" s="127" t="str">
        <f>IF(Load!$C$10=A10,Languages!$B$152,"")</f>
        <v/>
      </c>
      <c r="AB10" s="135"/>
      <c r="AC10" s="135"/>
      <c r="AD10" s="135"/>
      <c r="AE10" s="135"/>
      <c r="AF10" s="135"/>
      <c r="AG10" s="135"/>
    </row>
    <row r="11" spans="1:33">
      <c r="A11" s="122">
        <v>11</v>
      </c>
      <c r="B11" s="129" t="str">
        <f>IF(Load!$C$7=A11,N$6,(CONCATENATE(F11,".",M11)))</f>
        <v>02.11.15</v>
      </c>
      <c r="F11" s="130" t="str">
        <f t="shared" si="0"/>
        <v>02.11</v>
      </c>
      <c r="G11" s="131" t="str">
        <f t="shared" si="1"/>
        <v>02.11</v>
      </c>
      <c r="H11" s="136">
        <f t="shared" si="7"/>
        <v>11</v>
      </c>
      <c r="I11" s="122" t="str">
        <f t="shared" si="2"/>
        <v/>
      </c>
      <c r="J11" s="123" t="str">
        <f t="shared" si="3"/>
        <v>11</v>
      </c>
      <c r="K11" s="123" t="str">
        <f t="shared" si="6"/>
        <v>15</v>
      </c>
      <c r="L11" s="122" t="str">
        <f t="shared" si="4"/>
        <v/>
      </c>
      <c r="M11" s="122" t="str">
        <f t="shared" si="5"/>
        <v>15</v>
      </c>
      <c r="O11" s="133">
        <v>10</v>
      </c>
      <c r="P11" s="126">
        <f>IF(Load!$C$7&gt;=A9,P10-Dates!S10,0)</f>
        <v>41995.402076306971</v>
      </c>
      <c r="Q11" s="126">
        <f>IF(Load!$C$7&gt;=A10,Dates!$U$2,0)</f>
        <v>1985.9035652616938</v>
      </c>
      <c r="R11" s="126">
        <f>P11*Load!$C$8/12</f>
        <v>769.91570473229456</v>
      </c>
      <c r="S11" s="126">
        <f>IF(Load!$C$7&gt;=A10,Q11-R11,0)</f>
        <v>1215.9878605293993</v>
      </c>
      <c r="V11" s="127">
        <v>11</v>
      </c>
      <c r="W11" s="127" t="str">
        <f>IF(Load!$C$7=A11,Languages!$B$152,"")</f>
        <v/>
      </c>
      <c r="X11" s="131"/>
      <c r="Y11" s="135"/>
      <c r="Z11" s="127">
        <v>11</v>
      </c>
      <c r="AA11" s="127" t="str">
        <f>IF(Load!$C$10=A11,Languages!$B$152,"")</f>
        <v/>
      </c>
      <c r="AB11" s="135"/>
      <c r="AC11" s="135"/>
      <c r="AD11" s="135"/>
      <c r="AE11" s="135"/>
      <c r="AF11" s="135"/>
      <c r="AG11" s="135"/>
    </row>
    <row r="12" spans="1:33">
      <c r="A12" s="122">
        <v>12</v>
      </c>
      <c r="B12" s="129" t="str">
        <f>IF(Load!$C$7=A12,N$6,(CONCATENATE(F12,".",M12)))</f>
        <v>02.12.15</v>
      </c>
      <c r="F12" s="130" t="str">
        <f t="shared" si="0"/>
        <v>02.12</v>
      </c>
      <c r="G12" s="131" t="str">
        <f t="shared" si="1"/>
        <v>02.12</v>
      </c>
      <c r="H12" s="136">
        <f t="shared" si="7"/>
        <v>12</v>
      </c>
      <c r="I12" s="122" t="str">
        <f t="shared" si="2"/>
        <v/>
      </c>
      <c r="J12" s="123" t="str">
        <f t="shared" si="3"/>
        <v>12</v>
      </c>
      <c r="K12" s="123" t="str">
        <f t="shared" si="6"/>
        <v>15</v>
      </c>
      <c r="L12" s="122" t="str">
        <f t="shared" si="4"/>
        <v/>
      </c>
      <c r="M12" s="122" t="str">
        <f t="shared" si="5"/>
        <v>15</v>
      </c>
      <c r="O12" s="133">
        <v>11</v>
      </c>
      <c r="P12" s="126">
        <f>IF(Load!$C$7&gt;=A10,P11-Dates!S11,0)</f>
        <v>40779.414215777571</v>
      </c>
      <c r="Q12" s="126">
        <f>IF(Load!$C$7&gt;=A11,Dates!$U$2,0)</f>
        <v>1985.9035652616938</v>
      </c>
      <c r="R12" s="126">
        <f>P12*Load!$C$8/12</f>
        <v>747.62259395592218</v>
      </c>
      <c r="S12" s="126">
        <f>IF(Load!$C$7&gt;=A11,Q12-R12,0)</f>
        <v>1238.2809713057716</v>
      </c>
      <c r="V12" s="134">
        <v>12</v>
      </c>
      <c r="W12" s="127" t="str">
        <f>IF(Load!$C$7=A12,Languages!$B$152,"")</f>
        <v/>
      </c>
      <c r="Y12" s="135"/>
      <c r="Z12" s="134">
        <v>12</v>
      </c>
      <c r="AA12" s="127" t="str">
        <f>IF(Load!$C$10=A12,Languages!$B$152,"")</f>
        <v/>
      </c>
      <c r="AB12" s="135"/>
      <c r="AC12" s="135"/>
      <c r="AD12" s="135"/>
      <c r="AE12" s="135"/>
      <c r="AF12" s="135"/>
      <c r="AG12" s="135"/>
    </row>
    <row r="13" spans="1:33">
      <c r="A13" s="122">
        <v>13</v>
      </c>
      <c r="B13" s="129" t="str">
        <f>IF(Load!$C$7=A13,N$6,(CONCATENATE(F13,".",M13)))</f>
        <v>02.01.16</v>
      </c>
      <c r="F13" s="130" t="str">
        <f t="shared" si="0"/>
        <v>02.01</v>
      </c>
      <c r="G13" s="131" t="str">
        <f t="shared" si="1"/>
        <v>02.01</v>
      </c>
      <c r="H13" s="136">
        <f t="shared" si="7"/>
        <v>1</v>
      </c>
      <c r="I13" s="122">
        <f t="shared" si="2"/>
        <v>0</v>
      </c>
      <c r="J13" s="123" t="str">
        <f t="shared" si="3"/>
        <v>01</v>
      </c>
      <c r="K13" s="123">
        <f t="shared" si="6"/>
        <v>16</v>
      </c>
      <c r="L13" s="122" t="str">
        <f t="shared" si="4"/>
        <v/>
      </c>
      <c r="M13" s="122" t="str">
        <f t="shared" si="5"/>
        <v>16</v>
      </c>
      <c r="O13" s="133">
        <v>12</v>
      </c>
      <c r="P13" s="126">
        <f>IF(Load!$C$7&gt;=A11,P12-Dates!S12,0)</f>
        <v>39541.133244471799</v>
      </c>
      <c r="Q13" s="126">
        <f>IF(Load!$C$7&gt;=A12,Dates!$U$2,0)</f>
        <v>1985.9035652616938</v>
      </c>
      <c r="R13" s="126">
        <f>P13*Load!$C$8/12</f>
        <v>724.92077614864968</v>
      </c>
      <c r="S13" s="126">
        <f>IF(Load!$C$7&gt;=A12,Q13-R13,0)</f>
        <v>1260.982789113044</v>
      </c>
      <c r="V13" s="127">
        <v>13</v>
      </c>
      <c r="W13" s="127" t="str">
        <f>IF(Load!$C$7=A13,Languages!$B$152,"")</f>
        <v/>
      </c>
      <c r="Y13" s="135"/>
      <c r="Z13" s="127">
        <v>13</v>
      </c>
      <c r="AA13" s="127" t="str">
        <f>IF(Load!$C$10=A13,Languages!$B$152,"")</f>
        <v/>
      </c>
    </row>
    <row r="14" spans="1:33">
      <c r="A14" s="122">
        <v>14</v>
      </c>
      <c r="B14" s="129" t="str">
        <f>IF(Load!$C$7=A14,N$6,(CONCATENATE(F14,".",M14)))</f>
        <v>02.02.16</v>
      </c>
      <c r="C14" s="130"/>
      <c r="D14" s="130"/>
      <c r="E14" s="130"/>
      <c r="F14" s="130" t="str">
        <f t="shared" si="0"/>
        <v>02.02</v>
      </c>
      <c r="G14" s="131" t="str">
        <f t="shared" si="1"/>
        <v>02.02</v>
      </c>
      <c r="H14" s="136">
        <f t="shared" si="7"/>
        <v>2</v>
      </c>
      <c r="I14" s="122">
        <f>IF(H14&lt;=9,0,"")</f>
        <v>0</v>
      </c>
      <c r="J14" s="123" t="str">
        <f t="shared" si="3"/>
        <v>02</v>
      </c>
      <c r="K14" s="123">
        <f t="shared" si="6"/>
        <v>16</v>
      </c>
      <c r="L14" s="122" t="str">
        <f t="shared" si="4"/>
        <v/>
      </c>
      <c r="M14" s="122" t="str">
        <f t="shared" si="5"/>
        <v>16</v>
      </c>
      <c r="O14" s="133">
        <v>13</v>
      </c>
      <c r="P14" s="126">
        <f>IF(Load!$C$7&gt;=A12,P13-Dates!S13,0)</f>
        <v>38280.150455358758</v>
      </c>
      <c r="Q14" s="126">
        <f>IF(Load!$C$7&gt;=A13,Dates!$U$2,0)</f>
        <v>1985.9035652616938</v>
      </c>
      <c r="R14" s="126">
        <f>P14*Load!$C$8/12</f>
        <v>701.80275834824397</v>
      </c>
      <c r="S14" s="126">
        <f>IF(Load!$C$7&gt;=A13,Q14-R14,0)</f>
        <v>1284.1008069134498</v>
      </c>
      <c r="V14" s="127">
        <v>14</v>
      </c>
      <c r="W14" s="127" t="str">
        <f>IF(Load!$C$7=A14,Languages!$B$152,"")</f>
        <v/>
      </c>
      <c r="Y14" s="135"/>
      <c r="Z14" s="127">
        <v>14</v>
      </c>
      <c r="AA14" s="127" t="str">
        <f>IF(Load!$C$10=A14,Languages!$B$152,"")</f>
        <v/>
      </c>
    </row>
    <row r="15" spans="1:33">
      <c r="A15" s="122">
        <v>15</v>
      </c>
      <c r="B15" s="129" t="str">
        <f>IF(Load!$C$7=A15,N$6,(CONCATENATE(F15,".",M15)))</f>
        <v>02.03.16</v>
      </c>
      <c r="C15" s="130"/>
      <c r="D15" s="130"/>
      <c r="E15" s="130"/>
      <c r="F15" s="130" t="str">
        <f t="shared" si="0"/>
        <v>02.03</v>
      </c>
      <c r="G15" s="131" t="str">
        <f t="shared" si="1"/>
        <v>02.03</v>
      </c>
      <c r="H15" s="136">
        <f t="shared" si="7"/>
        <v>3</v>
      </c>
      <c r="I15" s="122">
        <f t="shared" si="2"/>
        <v>0</v>
      </c>
      <c r="J15" s="123" t="str">
        <f t="shared" si="3"/>
        <v>03</v>
      </c>
      <c r="K15" s="123">
        <f t="shared" si="6"/>
        <v>16</v>
      </c>
      <c r="L15" s="122" t="str">
        <f t="shared" si="4"/>
        <v/>
      </c>
      <c r="M15" s="122" t="str">
        <f t="shared" si="5"/>
        <v>16</v>
      </c>
      <c r="O15" s="133">
        <v>14</v>
      </c>
      <c r="P15" s="126">
        <f>IF(Load!$C$7&gt;=A13,P14-Dates!S14,0)</f>
        <v>36996.049648445311</v>
      </c>
      <c r="Q15" s="126">
        <f>IF(Load!$C$7&gt;=A14,Dates!$U$2,0)</f>
        <v>1985.9035652616938</v>
      </c>
      <c r="R15" s="126">
        <f>P15*Load!$C$8/12</f>
        <v>678.2609102214974</v>
      </c>
      <c r="S15" s="126">
        <f>IF(Load!$C$7&gt;=A14,Q15-R15,0)</f>
        <v>1307.6426550401964</v>
      </c>
      <c r="V15" s="127">
        <v>15</v>
      </c>
      <c r="W15" s="127" t="str">
        <f>IF(Load!$C$7=A15,Languages!$B$152,"")</f>
        <v/>
      </c>
      <c r="Z15" s="127">
        <v>15</v>
      </c>
      <c r="AA15" s="127" t="str">
        <f>IF(Load!$C$10=A15,Languages!$B$152,"")</f>
        <v/>
      </c>
    </row>
    <row r="16" spans="1:33">
      <c r="A16" s="122">
        <v>16</v>
      </c>
      <c r="B16" s="129" t="str">
        <f>IF(Load!$C$7=A16,N$6,(CONCATENATE(F16,".",M16)))</f>
        <v>02.04.16</v>
      </c>
      <c r="C16" s="130"/>
      <c r="D16" s="130"/>
      <c r="E16" s="130"/>
      <c r="F16" s="130" t="str">
        <f t="shared" si="0"/>
        <v>02.04</v>
      </c>
      <c r="G16" s="131" t="str">
        <f t="shared" si="1"/>
        <v>02.04</v>
      </c>
      <c r="H16" s="136">
        <f t="shared" si="7"/>
        <v>4</v>
      </c>
      <c r="I16" s="122">
        <f t="shared" si="2"/>
        <v>0</v>
      </c>
      <c r="J16" s="123" t="str">
        <f t="shared" si="3"/>
        <v>04</v>
      </c>
      <c r="K16" s="123">
        <f t="shared" si="6"/>
        <v>16</v>
      </c>
      <c r="L16" s="122" t="str">
        <f t="shared" si="4"/>
        <v/>
      </c>
      <c r="M16" s="122" t="str">
        <f t="shared" si="5"/>
        <v>16</v>
      </c>
      <c r="O16" s="133">
        <v>15</v>
      </c>
      <c r="P16" s="126">
        <f>IF(Load!$C$7&gt;=A14,P15-Dates!S15,0)</f>
        <v>35688.406993405115</v>
      </c>
      <c r="Q16" s="126">
        <f>IF(Load!$C$7&gt;=A15,Dates!$U$2,0)</f>
        <v>1985.9035652616938</v>
      </c>
      <c r="R16" s="126">
        <f>P16*Load!$C$8/12</f>
        <v>654.28746154576049</v>
      </c>
      <c r="S16" s="126">
        <f>IF(Load!$C$7&gt;=A15,Q16-R16,0)</f>
        <v>1331.6161037159331</v>
      </c>
      <c r="V16" s="127">
        <v>16</v>
      </c>
      <c r="W16" s="127" t="str">
        <f>IF(Load!$C$7=A16,Languages!$B$152,"")</f>
        <v/>
      </c>
      <c r="Z16" s="127">
        <v>16</v>
      </c>
      <c r="AA16" s="127" t="str">
        <f>IF(Load!$C$10=A16,Languages!$B$152,"")</f>
        <v/>
      </c>
    </row>
    <row r="17" spans="1:27">
      <c r="A17" s="122">
        <v>17</v>
      </c>
      <c r="B17" s="129" t="str">
        <f>IF(Load!$C$7=A17,N$6,(CONCATENATE(F17,".",M17)))</f>
        <v>02.05.16</v>
      </c>
      <c r="C17" s="130"/>
      <c r="D17" s="130"/>
      <c r="E17" s="130"/>
      <c r="F17" s="130" t="str">
        <f t="shared" si="0"/>
        <v>02.05</v>
      </c>
      <c r="G17" s="131" t="str">
        <f t="shared" si="1"/>
        <v>02.05</v>
      </c>
      <c r="H17" s="136">
        <f t="shared" si="7"/>
        <v>5</v>
      </c>
      <c r="I17" s="122">
        <f t="shared" si="2"/>
        <v>0</v>
      </c>
      <c r="J17" s="123" t="str">
        <f t="shared" si="3"/>
        <v>05</v>
      </c>
      <c r="K17" s="123">
        <f t="shared" si="6"/>
        <v>16</v>
      </c>
      <c r="L17" s="122" t="str">
        <f t="shared" si="4"/>
        <v/>
      </c>
      <c r="M17" s="122" t="str">
        <f t="shared" si="5"/>
        <v>16</v>
      </c>
      <c r="O17" s="133">
        <v>16</v>
      </c>
      <c r="P17" s="126">
        <f>IF(Load!$C$7&gt;=A15,P16-Dates!S16,0)</f>
        <v>34356.790889689182</v>
      </c>
      <c r="Q17" s="126">
        <f>IF(Load!$C$7&gt;=A16,Dates!$U$2,0)</f>
        <v>1985.9035652616938</v>
      </c>
      <c r="R17" s="126">
        <f>P17*Load!$C$8/12</f>
        <v>629.87449964430164</v>
      </c>
      <c r="S17" s="126">
        <f>IF(Load!$C$7&gt;=A16,Q17-R17,0)</f>
        <v>1356.029065617392</v>
      </c>
      <c r="V17" s="134">
        <v>17</v>
      </c>
      <c r="W17" s="127" t="str">
        <f>IF(Load!$C$7=A17,Languages!$B$152,"")</f>
        <v/>
      </c>
      <c r="Z17" s="134">
        <v>17</v>
      </c>
      <c r="AA17" s="127" t="str">
        <f>IF(Load!$C$10=A17,Languages!$B$152,"")</f>
        <v/>
      </c>
    </row>
    <row r="18" spans="1:27">
      <c r="A18" s="122">
        <v>18</v>
      </c>
      <c r="B18" s="129" t="str">
        <f>IF(Load!$C$7=A18,N$6,(CONCATENATE(F18,".",M18)))</f>
        <v>02.06.16</v>
      </c>
      <c r="C18" s="130"/>
      <c r="D18" s="130"/>
      <c r="E18" s="130"/>
      <c r="F18" s="130" t="str">
        <f t="shared" si="0"/>
        <v>02.06</v>
      </c>
      <c r="G18" s="131" t="str">
        <f t="shared" si="1"/>
        <v>02.06</v>
      </c>
      <c r="H18" s="136">
        <f t="shared" si="7"/>
        <v>6</v>
      </c>
      <c r="I18" s="122">
        <f t="shared" si="2"/>
        <v>0</v>
      </c>
      <c r="J18" s="123" t="str">
        <f t="shared" si="3"/>
        <v>06</v>
      </c>
      <c r="K18" s="123">
        <f t="shared" si="6"/>
        <v>16</v>
      </c>
      <c r="L18" s="122" t="str">
        <f t="shared" si="4"/>
        <v/>
      </c>
      <c r="M18" s="122" t="str">
        <f t="shared" si="5"/>
        <v>16</v>
      </c>
      <c r="O18" s="133">
        <v>17</v>
      </c>
      <c r="P18" s="126">
        <f>IF(Load!$C$7&gt;=A16,P17-Dates!S17,0)</f>
        <v>33000.761824071793</v>
      </c>
      <c r="Q18" s="126">
        <f>IF(Load!$C$7&gt;=A17,Dates!$U$2,0)</f>
        <v>1985.9035652616938</v>
      </c>
      <c r="R18" s="126">
        <f>P18*Load!$C$8/12</f>
        <v>605.01396677464948</v>
      </c>
      <c r="S18" s="126">
        <f>IF(Load!$C$7&gt;=A17,Q18-R18,0)</f>
        <v>1380.8895984870442</v>
      </c>
      <c r="V18" s="127">
        <v>18</v>
      </c>
      <c r="W18" s="127" t="str">
        <f>IF(Load!$C$7=A18,Languages!$B$152,"")</f>
        <v/>
      </c>
      <c r="Z18" s="127">
        <v>18</v>
      </c>
      <c r="AA18" s="127" t="str">
        <f>IF(Load!$C$10=A18,Languages!$B$152,"")</f>
        <v/>
      </c>
    </row>
    <row r="19" spans="1:27">
      <c r="A19" s="122">
        <v>19</v>
      </c>
      <c r="B19" s="129" t="str">
        <f>IF(Load!$C$7=A19,N$6,(CONCATENATE(F19,".",M19)))</f>
        <v>02.07.16</v>
      </c>
      <c r="C19" s="130"/>
      <c r="D19" s="130"/>
      <c r="E19" s="130"/>
      <c r="F19" s="130" t="str">
        <f t="shared" si="0"/>
        <v>02.07</v>
      </c>
      <c r="G19" s="131" t="str">
        <f t="shared" si="1"/>
        <v>02.07</v>
      </c>
      <c r="H19" s="136">
        <f t="shared" si="7"/>
        <v>7</v>
      </c>
      <c r="I19" s="122">
        <f t="shared" si="2"/>
        <v>0</v>
      </c>
      <c r="J19" s="123" t="str">
        <f t="shared" si="3"/>
        <v>07</v>
      </c>
      <c r="K19" s="123">
        <f t="shared" si="6"/>
        <v>16</v>
      </c>
      <c r="L19" s="122" t="str">
        <f t="shared" si="4"/>
        <v/>
      </c>
      <c r="M19" s="122" t="str">
        <f t="shared" si="5"/>
        <v>16</v>
      </c>
      <c r="O19" s="133">
        <v>18</v>
      </c>
      <c r="P19" s="126">
        <f>IF(Load!$C$7&gt;=A17,P18-Dates!S18,0)</f>
        <v>31619.87222558475</v>
      </c>
      <c r="Q19" s="126">
        <f>IF(Load!$C$7&gt;=A18,Dates!$U$2,0)</f>
        <v>1985.9035652616938</v>
      </c>
      <c r="R19" s="126">
        <f>P19*Load!$C$8/12</f>
        <v>579.69765746905375</v>
      </c>
      <c r="S19" s="126">
        <f>IF(Load!$C$7&gt;=A18,Q19-R19,0)</f>
        <v>1406.2059077926401</v>
      </c>
      <c r="V19" s="127">
        <v>19</v>
      </c>
      <c r="W19" s="127" t="str">
        <f>IF(Load!$C$7=A19,Languages!$B$152,"")</f>
        <v/>
      </c>
      <c r="Z19" s="127">
        <v>19</v>
      </c>
      <c r="AA19" s="127" t="str">
        <f>IF(Load!$C$10=A19,Languages!$B$152,"")</f>
        <v/>
      </c>
    </row>
    <row r="20" spans="1:27">
      <c r="A20" s="122">
        <v>20</v>
      </c>
      <c r="B20" s="129" t="str">
        <f>IF(Load!$C$7=A20,N$6,(CONCATENATE(F20,".",M20)))</f>
        <v>02.08.16</v>
      </c>
      <c r="C20" s="130"/>
      <c r="D20" s="130"/>
      <c r="E20" s="130"/>
      <c r="F20" s="130" t="str">
        <f t="shared" si="0"/>
        <v>02.08</v>
      </c>
      <c r="G20" s="131" t="str">
        <f t="shared" si="1"/>
        <v>02.08</v>
      </c>
      <c r="H20" s="136">
        <f t="shared" si="7"/>
        <v>8</v>
      </c>
      <c r="I20" s="122">
        <f t="shared" si="2"/>
        <v>0</v>
      </c>
      <c r="J20" s="123" t="str">
        <f t="shared" si="3"/>
        <v>08</v>
      </c>
      <c r="K20" s="123">
        <f t="shared" si="6"/>
        <v>16</v>
      </c>
      <c r="L20" s="122" t="str">
        <f t="shared" si="4"/>
        <v/>
      </c>
      <c r="M20" s="122" t="str">
        <f t="shared" si="5"/>
        <v>16</v>
      </c>
      <c r="O20" s="133">
        <v>19</v>
      </c>
      <c r="P20" s="126">
        <f>IF(Load!$C$7&gt;=A18,P19-Dates!S19,0)</f>
        <v>30213.666317792111</v>
      </c>
      <c r="Q20" s="126">
        <f>IF(Load!$C$7&gt;=A19,Dates!$U$2,0)</f>
        <v>1985.9035652616938</v>
      </c>
      <c r="R20" s="126">
        <f>P20*Load!$C$8/12</f>
        <v>553.91721582618868</v>
      </c>
      <c r="S20" s="126">
        <f>IF(Load!$C$7&gt;=A19,Q20-R20,0)</f>
        <v>1431.986349435505</v>
      </c>
      <c r="V20" s="127">
        <v>20</v>
      </c>
      <c r="W20" s="127" t="str">
        <f>IF(Load!$C$7=A20,Languages!$B$152,"")</f>
        <v/>
      </c>
      <c r="Z20" s="127">
        <v>20</v>
      </c>
      <c r="AA20" s="127" t="str">
        <f>IF(Load!$C$10=A20,Languages!$B$152,"")</f>
        <v/>
      </c>
    </row>
    <row r="21" spans="1:27">
      <c r="A21" s="122">
        <v>21</v>
      </c>
      <c r="B21" s="129" t="str">
        <f>IF(Load!$C$7=A21,N$6,(CONCATENATE(F21,".",M21)))</f>
        <v>02.09.16</v>
      </c>
      <c r="C21" s="130"/>
      <c r="D21" s="130"/>
      <c r="E21" s="130"/>
      <c r="F21" s="130" t="str">
        <f t="shared" si="0"/>
        <v>02.09</v>
      </c>
      <c r="G21" s="131" t="str">
        <f t="shared" si="1"/>
        <v>02.09</v>
      </c>
      <c r="H21" s="136">
        <f t="shared" si="7"/>
        <v>9</v>
      </c>
      <c r="I21" s="122">
        <f t="shared" si="2"/>
        <v>0</v>
      </c>
      <c r="J21" s="123" t="str">
        <f t="shared" si="3"/>
        <v>09</v>
      </c>
      <c r="K21" s="123">
        <f t="shared" si="6"/>
        <v>16</v>
      </c>
      <c r="L21" s="122" t="str">
        <f t="shared" si="4"/>
        <v/>
      </c>
      <c r="M21" s="122" t="str">
        <f t="shared" si="5"/>
        <v>16</v>
      </c>
      <c r="O21" s="133">
        <v>20</v>
      </c>
      <c r="P21" s="126">
        <f>IF(Load!$C$7&gt;=A19,P20-Dates!S20,0)</f>
        <v>28781.679968356606</v>
      </c>
      <c r="Q21" s="126">
        <f>IF(Load!$C$7&gt;=A20,Dates!$U$2,0)</f>
        <v>1985.9035652616938</v>
      </c>
      <c r="R21" s="126">
        <f>P21*Load!$C$8/12</f>
        <v>527.6641327532044</v>
      </c>
      <c r="S21" s="126">
        <f>IF(Load!$C$7&gt;=A20,Q21-R21,0)</f>
        <v>1458.2394325084892</v>
      </c>
      <c r="V21" s="127">
        <v>21</v>
      </c>
      <c r="W21" s="127" t="str">
        <f>IF(Load!$C$7=A21,Languages!$B$150,"")</f>
        <v/>
      </c>
      <c r="Z21" s="127">
        <v>21</v>
      </c>
      <c r="AA21" s="127" t="str">
        <f>IF(Load!$C$10=A21,Languages!$B$150,"")</f>
        <v/>
      </c>
    </row>
    <row r="22" spans="1:27">
      <c r="A22" s="122">
        <v>22</v>
      </c>
      <c r="B22" s="129" t="str">
        <f>IF(Load!$C$7=A22,N$6,(CONCATENATE(F22,".",M22)))</f>
        <v>02.10.16</v>
      </c>
      <c r="C22" s="130"/>
      <c r="D22" s="130"/>
      <c r="E22" s="130"/>
      <c r="F22" s="130" t="str">
        <f t="shared" si="0"/>
        <v>02.10</v>
      </c>
      <c r="G22" s="131" t="str">
        <f t="shared" si="1"/>
        <v>02.10</v>
      </c>
      <c r="H22" s="136">
        <f t="shared" si="7"/>
        <v>10</v>
      </c>
      <c r="I22" s="122" t="str">
        <f t="shared" si="2"/>
        <v/>
      </c>
      <c r="J22" s="123" t="str">
        <f t="shared" si="3"/>
        <v>10</v>
      </c>
      <c r="K22" s="123">
        <f t="shared" si="6"/>
        <v>16</v>
      </c>
      <c r="L22" s="122" t="str">
        <f t="shared" si="4"/>
        <v/>
      </c>
      <c r="M22" s="122" t="str">
        <f t="shared" si="5"/>
        <v>16</v>
      </c>
      <c r="O22" s="133">
        <v>21</v>
      </c>
      <c r="P22" s="126">
        <f>IF(Load!$C$7&gt;=A20,P21-Dates!S21,0)</f>
        <v>27323.440535848116</v>
      </c>
      <c r="Q22" s="126">
        <f>IF(Load!$C$7&gt;=A21,Dates!$U$2,0)</f>
        <v>1985.9035652616938</v>
      </c>
      <c r="R22" s="126">
        <f>P22*Load!$C$8/12</f>
        <v>500.92974315721546</v>
      </c>
      <c r="S22" s="126">
        <f>IF(Load!$C$7&gt;=A21,Q22-R22,0)</f>
        <v>1484.9738221044784</v>
      </c>
      <c r="V22" s="134">
        <v>22</v>
      </c>
      <c r="W22" s="127" t="str">
        <f>IF(Load!$C$7=A22,Languages!$B$151,"")</f>
        <v/>
      </c>
      <c r="Z22" s="134">
        <v>22</v>
      </c>
      <c r="AA22" s="127" t="str">
        <f>IF(Load!$C$10=A22,Languages!$B$151,"")</f>
        <v/>
      </c>
    </row>
    <row r="23" spans="1:27">
      <c r="A23" s="122">
        <v>23</v>
      </c>
      <c r="B23" s="129" t="str">
        <f>IF(Load!$C$7=A23,N$6,(CONCATENATE(F23,".",M23)))</f>
        <v>02.11.16</v>
      </c>
      <c r="C23" s="130"/>
      <c r="D23" s="130"/>
      <c r="E23" s="130"/>
      <c r="F23" s="130" t="str">
        <f t="shared" si="0"/>
        <v>02.11</v>
      </c>
      <c r="G23" s="131" t="str">
        <f t="shared" si="1"/>
        <v>02.11</v>
      </c>
      <c r="H23" s="136">
        <f t="shared" si="7"/>
        <v>11</v>
      </c>
      <c r="I23" s="122" t="str">
        <f t="shared" si="2"/>
        <v/>
      </c>
      <c r="J23" s="123" t="str">
        <f t="shared" si="3"/>
        <v>11</v>
      </c>
      <c r="K23" s="123">
        <f t="shared" si="6"/>
        <v>16</v>
      </c>
      <c r="L23" s="122" t="str">
        <f t="shared" si="4"/>
        <v/>
      </c>
      <c r="M23" s="122" t="str">
        <f t="shared" si="5"/>
        <v>16</v>
      </c>
      <c r="O23" s="133">
        <v>22</v>
      </c>
      <c r="P23" s="126">
        <f>IF(Load!$C$7&gt;=A21,P22-Dates!S22,0)</f>
        <v>25838.466713743637</v>
      </c>
      <c r="Q23" s="126">
        <f>IF(Load!$C$7&gt;=A22,Dates!$U$2,0)</f>
        <v>1985.9035652616938</v>
      </c>
      <c r="R23" s="126">
        <f>P23*Load!$C$8/12</f>
        <v>473.70522308530002</v>
      </c>
      <c r="S23" s="126">
        <f>IF(Load!$C$7&gt;=A22,Q23-R23,0)</f>
        <v>1512.1983421763937</v>
      </c>
      <c r="V23" s="127">
        <v>23</v>
      </c>
      <c r="W23" s="127" t="str">
        <f>IF(Load!$C$7=A23,Languages!$B$151,"")</f>
        <v/>
      </c>
      <c r="Z23" s="127">
        <v>23</v>
      </c>
      <c r="AA23" s="127" t="str">
        <f>IF(Load!$C$10=A23,Languages!$B$151,"")</f>
        <v/>
      </c>
    </row>
    <row r="24" spans="1:27">
      <c r="A24" s="122">
        <v>24</v>
      </c>
      <c r="B24" s="129" t="str">
        <f>IF(Load!$C$7=A24,N$6,(CONCATENATE(F24,".",M24)))</f>
        <v>02.12.16</v>
      </c>
      <c r="C24" s="130"/>
      <c r="D24" s="130"/>
      <c r="E24" s="130"/>
      <c r="F24" s="130" t="str">
        <f t="shared" si="0"/>
        <v>02.12</v>
      </c>
      <c r="G24" s="131" t="str">
        <f t="shared" si="1"/>
        <v>02.12</v>
      </c>
      <c r="H24" s="136">
        <f t="shared" si="7"/>
        <v>12</v>
      </c>
      <c r="I24" s="122" t="str">
        <f t="shared" si="2"/>
        <v/>
      </c>
      <c r="J24" s="123" t="str">
        <f t="shared" si="3"/>
        <v>12</v>
      </c>
      <c r="K24" s="123">
        <f t="shared" si="6"/>
        <v>16</v>
      </c>
      <c r="L24" s="122" t="str">
        <f t="shared" si="4"/>
        <v/>
      </c>
      <c r="M24" s="122" t="str">
        <f t="shared" si="5"/>
        <v>16</v>
      </c>
      <c r="O24" s="133">
        <v>23</v>
      </c>
      <c r="P24" s="126">
        <f>IF(Load!$C$7&gt;=A22,P23-Dates!S23,0)</f>
        <v>24326.268371567243</v>
      </c>
      <c r="Q24" s="126">
        <f>IF(Load!$C$7&gt;=A23,Dates!$U$2,0)</f>
        <v>1985.9035652616938</v>
      </c>
      <c r="R24" s="126">
        <f>P24*Load!$C$8/12</f>
        <v>445.9815868120661</v>
      </c>
      <c r="S24" s="126">
        <f>IF(Load!$C$7&gt;=A23,Q24-R24,0)</f>
        <v>1539.9219784496277</v>
      </c>
      <c r="V24" s="127">
        <v>24</v>
      </c>
      <c r="W24" s="127" t="str">
        <f>IF(Load!$C$7=A24,Languages!$B$151,"")</f>
        <v/>
      </c>
      <c r="Z24" s="127">
        <v>24</v>
      </c>
      <c r="AA24" s="127" t="str">
        <f>IF(Load!$C$10=A24,Languages!$B$151,"")</f>
        <v/>
      </c>
    </row>
    <row r="25" spans="1:27">
      <c r="A25" s="122">
        <v>25</v>
      </c>
      <c r="B25" s="129" t="str">
        <f>IF(Load!$C$7=A25,N$6,(CONCATENATE(F25,".",M25)))</f>
        <v>02.01.17</v>
      </c>
      <c r="C25" s="130"/>
      <c r="D25" s="130"/>
      <c r="E25" s="130"/>
      <c r="F25" s="130" t="str">
        <f t="shared" si="0"/>
        <v>02.01</v>
      </c>
      <c r="G25" s="131" t="str">
        <f t="shared" si="1"/>
        <v>02.01</v>
      </c>
      <c r="H25" s="136">
        <f t="shared" si="7"/>
        <v>1</v>
      </c>
      <c r="I25" s="122">
        <f t="shared" si="2"/>
        <v>0</v>
      </c>
      <c r="J25" s="123" t="str">
        <f t="shared" si="3"/>
        <v>01</v>
      </c>
      <c r="K25" s="123">
        <f t="shared" si="6"/>
        <v>17</v>
      </c>
      <c r="L25" s="122" t="str">
        <f t="shared" si="4"/>
        <v/>
      </c>
      <c r="M25" s="122" t="str">
        <f t="shared" si="5"/>
        <v>17</v>
      </c>
      <c r="O25" s="133">
        <v>24</v>
      </c>
      <c r="P25" s="126">
        <f>IF(Load!$C$7&gt;=A23,P24-Dates!S24,0)</f>
        <v>22786.346393117616</v>
      </c>
      <c r="Q25" s="126">
        <f>IF(Load!$C$7&gt;=A24,Dates!$U$2,0)</f>
        <v>1985.9035652616938</v>
      </c>
      <c r="R25" s="126">
        <f>P25*Load!$C$8/12</f>
        <v>417.74968387382296</v>
      </c>
      <c r="S25" s="126">
        <f>IF(Load!$C$7&gt;=A24,Q25-R25,0)</f>
        <v>1568.1538813878708</v>
      </c>
      <c r="V25" s="127">
        <v>25</v>
      </c>
      <c r="W25" s="127" t="str">
        <f>IF(Load!$C$7=A25,Languages!$B$152,"")</f>
        <v/>
      </c>
      <c r="Z25" s="127">
        <v>25</v>
      </c>
      <c r="AA25" s="127" t="str">
        <f>IF(Load!$C$10=A25,Languages!$B$152,"")</f>
        <v/>
      </c>
    </row>
    <row r="26" spans="1:27">
      <c r="A26" s="122">
        <v>26</v>
      </c>
      <c r="B26" s="129" t="str">
        <f>IF(Load!$C$7=A26,N$6,(CONCATENATE(F26,".",M26)))</f>
        <v>02.02.17</v>
      </c>
      <c r="C26" s="130"/>
      <c r="D26" s="130"/>
      <c r="E26" s="130"/>
      <c r="F26" s="130" t="str">
        <f t="shared" si="0"/>
        <v>02.02</v>
      </c>
      <c r="G26" s="131" t="str">
        <f t="shared" si="1"/>
        <v>02.02</v>
      </c>
      <c r="H26" s="136">
        <f t="shared" si="7"/>
        <v>2</v>
      </c>
      <c r="I26" s="122">
        <f t="shared" si="2"/>
        <v>0</v>
      </c>
      <c r="J26" s="123" t="str">
        <f t="shared" si="3"/>
        <v>02</v>
      </c>
      <c r="K26" s="123">
        <f t="shared" si="6"/>
        <v>17</v>
      </c>
      <c r="L26" s="122" t="str">
        <f t="shared" si="4"/>
        <v/>
      </c>
      <c r="M26" s="122" t="str">
        <f t="shared" si="5"/>
        <v>17</v>
      </c>
      <c r="O26" s="133">
        <v>25</v>
      </c>
      <c r="P26" s="126">
        <f>IF(Load!$C$7&gt;=A24,P25-Dates!S25,0)</f>
        <v>21218.192511729743</v>
      </c>
      <c r="Q26" s="126">
        <f>IF(Load!$C$7&gt;=A25,Dates!$U$2,0)</f>
        <v>1985.9035652616938</v>
      </c>
      <c r="R26" s="126">
        <f>P26*Load!$C$8/12</f>
        <v>389.00019604837865</v>
      </c>
      <c r="S26" s="126">
        <f>IF(Load!$C$7&gt;=A25,Q26-R26,0)</f>
        <v>1596.903369213315</v>
      </c>
      <c r="V26" s="127">
        <v>26</v>
      </c>
      <c r="W26" s="127" t="str">
        <f>IF(Load!$C$7=A26,Languages!$B$152,"")</f>
        <v/>
      </c>
      <c r="Z26" s="127">
        <v>26</v>
      </c>
      <c r="AA26" s="127" t="str">
        <f>IF(Load!$C$10=A26,Languages!$B$152,"")</f>
        <v/>
      </c>
    </row>
    <row r="27" spans="1:27">
      <c r="A27" s="122">
        <v>27</v>
      </c>
      <c r="B27" s="129" t="str">
        <f>IF(Load!$C$7=A27,N$6,(CONCATENATE(F27,".",M27)))</f>
        <v>02.03.17</v>
      </c>
      <c r="C27" s="130"/>
      <c r="D27" s="130"/>
      <c r="E27" s="130"/>
      <c r="F27" s="130" t="str">
        <f t="shared" si="0"/>
        <v>02.03</v>
      </c>
      <c r="G27" s="131" t="str">
        <f t="shared" si="1"/>
        <v>02.03</v>
      </c>
      <c r="H27" s="136">
        <f t="shared" si="7"/>
        <v>3</v>
      </c>
      <c r="I27" s="122">
        <f t="shared" si="2"/>
        <v>0</v>
      </c>
      <c r="J27" s="123" t="str">
        <f t="shared" si="3"/>
        <v>03</v>
      </c>
      <c r="K27" s="123">
        <f t="shared" si="6"/>
        <v>17</v>
      </c>
      <c r="L27" s="122" t="str">
        <f t="shared" si="4"/>
        <v/>
      </c>
      <c r="M27" s="122" t="str">
        <f t="shared" si="5"/>
        <v>17</v>
      </c>
      <c r="O27" s="133">
        <v>26</v>
      </c>
      <c r="P27" s="126">
        <f>IF(Load!$C$7&gt;=A25,P26-Dates!S26,0)</f>
        <v>19621.289142516427</v>
      </c>
      <c r="Q27" s="126">
        <f>IF(Load!$C$7&gt;=A26,Dates!$U$2,0)</f>
        <v>1985.9035652616938</v>
      </c>
      <c r="R27" s="126">
        <f>P27*Load!$C$8/12</f>
        <v>359.72363427946783</v>
      </c>
      <c r="S27" s="126">
        <f>IF(Load!$C$7&gt;=A26,Q27-R27,0)</f>
        <v>1626.1799309822259</v>
      </c>
      <c r="V27" s="134">
        <v>27</v>
      </c>
      <c r="W27" s="127" t="str">
        <f>IF(Load!$C$7=A27,Languages!$B$152,"")</f>
        <v/>
      </c>
      <c r="Z27" s="134">
        <v>27</v>
      </c>
      <c r="AA27" s="127" t="str">
        <f>IF(Load!$C$10=A27,Languages!$B$152,"")</f>
        <v/>
      </c>
    </row>
    <row r="28" spans="1:27">
      <c r="A28" s="122">
        <v>28</v>
      </c>
      <c r="B28" s="129" t="str">
        <f>IF(Load!$C$7=A28,N$6,(CONCATENATE(F28,".",M28)))</f>
        <v>02.04.17</v>
      </c>
      <c r="C28" s="130"/>
      <c r="D28" s="130"/>
      <c r="E28" s="130"/>
      <c r="F28" s="130" t="str">
        <f t="shared" si="0"/>
        <v>02.04</v>
      </c>
      <c r="G28" s="131" t="str">
        <f t="shared" si="1"/>
        <v>02.04</v>
      </c>
      <c r="H28" s="136">
        <f t="shared" si="7"/>
        <v>4</v>
      </c>
      <c r="I28" s="122">
        <f t="shared" si="2"/>
        <v>0</v>
      </c>
      <c r="J28" s="123" t="str">
        <f t="shared" si="3"/>
        <v>04</v>
      </c>
      <c r="K28" s="123">
        <f t="shared" si="6"/>
        <v>17</v>
      </c>
      <c r="L28" s="122" t="str">
        <f t="shared" si="4"/>
        <v/>
      </c>
      <c r="M28" s="122" t="str">
        <f t="shared" si="5"/>
        <v>17</v>
      </c>
      <c r="O28" s="133">
        <v>27</v>
      </c>
      <c r="P28" s="126">
        <f>IF(Load!$C$7&gt;=A26,P27-Dates!S27,0)</f>
        <v>17995.1092115342</v>
      </c>
      <c r="Q28" s="126">
        <f>IF(Load!$C$7&gt;=A27,Dates!$U$2,0)</f>
        <v>1985.9035652616938</v>
      </c>
      <c r="R28" s="126">
        <f>P28*Load!$C$8/12</f>
        <v>329.91033554479367</v>
      </c>
      <c r="S28" s="126">
        <f>IF(Load!$C$7&gt;=A27,Q28-R28,0)</f>
        <v>1655.9932297169</v>
      </c>
      <c r="V28" s="127">
        <v>28</v>
      </c>
      <c r="W28" s="127" t="str">
        <f>IF(Load!$C$7=A28,Languages!$B$152,"")</f>
        <v/>
      </c>
      <c r="Z28" s="127">
        <v>28</v>
      </c>
      <c r="AA28" s="127" t="str">
        <f>IF(Load!$C$10=A28,Languages!$B$152,"")</f>
        <v/>
      </c>
    </row>
    <row r="29" spans="1:27">
      <c r="A29" s="122">
        <v>29</v>
      </c>
      <c r="B29" s="129" t="str">
        <f>IF(Load!$C$7=A29,N$6,(CONCATENATE(F29,".",M29)))</f>
        <v>02.05.17</v>
      </c>
      <c r="C29" s="130"/>
      <c r="D29" s="130"/>
      <c r="E29" s="130"/>
      <c r="F29" s="130" t="str">
        <f t="shared" si="0"/>
        <v>02.05</v>
      </c>
      <c r="G29" s="131" t="str">
        <f t="shared" si="1"/>
        <v>02.05</v>
      </c>
      <c r="H29" s="136">
        <f t="shared" si="7"/>
        <v>5</v>
      </c>
      <c r="I29" s="122">
        <f t="shared" si="2"/>
        <v>0</v>
      </c>
      <c r="J29" s="123" t="str">
        <f t="shared" si="3"/>
        <v>05</v>
      </c>
      <c r="K29" s="123">
        <f t="shared" si="6"/>
        <v>17</v>
      </c>
      <c r="L29" s="122" t="str">
        <f t="shared" si="4"/>
        <v/>
      </c>
      <c r="M29" s="122" t="str">
        <f t="shared" si="5"/>
        <v>17</v>
      </c>
      <c r="O29" s="133">
        <v>28</v>
      </c>
      <c r="P29" s="126">
        <f>IF(Load!$C$7&gt;=A27,P28-Dates!S28,0)</f>
        <v>16339.1159818173</v>
      </c>
      <c r="Q29" s="126">
        <f>IF(Load!$C$7&gt;=A28,Dates!$U$2,0)</f>
        <v>1985.9035652616938</v>
      </c>
      <c r="R29" s="126">
        <f>P29*Load!$C$8/12</f>
        <v>299.55045966665051</v>
      </c>
      <c r="S29" s="126">
        <f>IF(Load!$C$7&gt;=A28,Q29-R29,0)</f>
        <v>1686.3531055950432</v>
      </c>
      <c r="V29" s="127">
        <v>29</v>
      </c>
      <c r="W29" s="127" t="str">
        <f>IF(Load!$C$7=A29,Languages!$B$152,"")</f>
        <v/>
      </c>
      <c r="Z29" s="127">
        <v>29</v>
      </c>
      <c r="AA29" s="127" t="str">
        <f>IF(Load!$C$10=A29,Languages!$B$152,"")</f>
        <v/>
      </c>
    </row>
    <row r="30" spans="1:27">
      <c r="A30" s="122">
        <v>30</v>
      </c>
      <c r="B30" s="129" t="str">
        <f>IF(Load!$C$7=A30,N$6,(CONCATENATE(F30,".",M30)))</f>
        <v>02.06.17</v>
      </c>
      <c r="C30" s="130"/>
      <c r="D30" s="130"/>
      <c r="E30" s="130"/>
      <c r="F30" s="130" t="str">
        <f t="shared" si="0"/>
        <v>02.06</v>
      </c>
      <c r="G30" s="131" t="str">
        <f t="shared" si="1"/>
        <v>02.06</v>
      </c>
      <c r="H30" s="136">
        <f t="shared" si="7"/>
        <v>6</v>
      </c>
      <c r="I30" s="122">
        <f t="shared" si="2"/>
        <v>0</v>
      </c>
      <c r="J30" s="123" t="str">
        <f t="shared" si="3"/>
        <v>06</v>
      </c>
      <c r="K30" s="123">
        <f t="shared" si="6"/>
        <v>17</v>
      </c>
      <c r="L30" s="122" t="str">
        <f t="shared" si="4"/>
        <v/>
      </c>
      <c r="M30" s="122" t="str">
        <f t="shared" si="5"/>
        <v>17</v>
      </c>
      <c r="O30" s="133">
        <v>29</v>
      </c>
      <c r="P30" s="126">
        <f>IF(Load!$C$7&gt;=A28,P29-Dates!S29,0)</f>
        <v>14652.762876222258</v>
      </c>
      <c r="Q30" s="126">
        <f>IF(Load!$C$7&gt;=A29,Dates!$U$2,0)</f>
        <v>1985.9035652616938</v>
      </c>
      <c r="R30" s="126">
        <f>P30*Load!$C$8/12</f>
        <v>268.63398606407469</v>
      </c>
      <c r="S30" s="126">
        <f>IF(Load!$C$7&gt;=A29,Q30-R30,0)</f>
        <v>1717.2695791976191</v>
      </c>
      <c r="V30" s="127">
        <v>30</v>
      </c>
      <c r="W30" s="127" t="str">
        <f>IF(Load!$C$7=A30,Languages!$B$152,"")</f>
        <v/>
      </c>
      <c r="Z30" s="127">
        <v>30</v>
      </c>
      <c r="AA30" s="127" t="str">
        <f>IF(Load!$C$10=A30,Languages!$B$152,"")</f>
        <v/>
      </c>
    </row>
    <row r="31" spans="1:27">
      <c r="A31" s="122">
        <v>31</v>
      </c>
      <c r="B31" s="129" t="str">
        <f>IF(Load!$C$7=A31,N$6,(CONCATENATE(F31,".",M31)))</f>
        <v>02.07.17</v>
      </c>
      <c r="C31" s="130"/>
      <c r="D31" s="130"/>
      <c r="E31" s="130"/>
      <c r="F31" s="130" t="str">
        <f t="shared" si="0"/>
        <v>02.07</v>
      </c>
      <c r="G31" s="131" t="str">
        <f t="shared" si="1"/>
        <v>02.07</v>
      </c>
      <c r="H31" s="136">
        <f t="shared" si="7"/>
        <v>7</v>
      </c>
      <c r="I31" s="122">
        <f t="shared" si="2"/>
        <v>0</v>
      </c>
      <c r="J31" s="123" t="str">
        <f t="shared" si="3"/>
        <v>07</v>
      </c>
      <c r="K31" s="123">
        <f t="shared" si="6"/>
        <v>17</v>
      </c>
      <c r="L31" s="122" t="str">
        <f t="shared" si="4"/>
        <v/>
      </c>
      <c r="M31" s="122" t="str">
        <f t="shared" si="5"/>
        <v>17</v>
      </c>
      <c r="O31" s="133">
        <v>30</v>
      </c>
      <c r="P31" s="126">
        <f>IF(Load!$C$7&gt;=A29,P30-Dates!S30,0)</f>
        <v>12935.493297024639</v>
      </c>
      <c r="Q31" s="126">
        <f>IF(Load!$C$7&gt;=A30,Dates!$U$2,0)</f>
        <v>1985.9035652616938</v>
      </c>
      <c r="R31" s="126">
        <f>P31*Load!$C$8/12</f>
        <v>237.15071044545172</v>
      </c>
      <c r="S31" s="126">
        <f>IF(Load!$C$7&gt;=A30,Q31-R31,0)</f>
        <v>1748.752854816242</v>
      </c>
      <c r="V31" s="127">
        <v>31</v>
      </c>
      <c r="W31" s="127" t="str">
        <f>IF(Load!$C$7=A31,Languages!$B$150,"")</f>
        <v/>
      </c>
      <c r="Z31" s="127">
        <v>31</v>
      </c>
      <c r="AA31" s="127" t="str">
        <f>IF(Load!$C$10=A31,Languages!$B$150,"")</f>
        <v/>
      </c>
    </row>
    <row r="32" spans="1:27">
      <c r="A32" s="122">
        <v>32</v>
      </c>
      <c r="B32" s="129" t="str">
        <f>IF(Load!$C$7=A32,N$6,(CONCATENATE(F32,".",M32)))</f>
        <v>02.08.17</v>
      </c>
      <c r="C32" s="130"/>
      <c r="D32" s="130"/>
      <c r="E32" s="130"/>
      <c r="F32" s="130" t="str">
        <f t="shared" si="0"/>
        <v>02.08</v>
      </c>
      <c r="G32" s="131" t="str">
        <f t="shared" si="1"/>
        <v>02.08</v>
      </c>
      <c r="H32" s="136">
        <f t="shared" si="7"/>
        <v>8</v>
      </c>
      <c r="I32" s="122">
        <f t="shared" si="2"/>
        <v>0</v>
      </c>
      <c r="J32" s="123" t="str">
        <f t="shared" si="3"/>
        <v>08</v>
      </c>
      <c r="K32" s="123">
        <f t="shared" si="6"/>
        <v>17</v>
      </c>
      <c r="L32" s="122" t="str">
        <f t="shared" si="4"/>
        <v/>
      </c>
      <c r="M32" s="122" t="str">
        <f t="shared" si="5"/>
        <v>17</v>
      </c>
      <c r="O32" s="133">
        <v>31</v>
      </c>
      <c r="P32" s="126">
        <f>IF(Load!$C$7&gt;=A30,P31-Dates!S31,0)</f>
        <v>11186.740442208396</v>
      </c>
      <c r="Q32" s="126">
        <f>IF(Load!$C$7&gt;=A31,Dates!$U$2,0)</f>
        <v>1985.9035652616938</v>
      </c>
      <c r="R32" s="126">
        <f>P32*Load!$C$8/12</f>
        <v>205.09024144048726</v>
      </c>
      <c r="S32" s="126">
        <f>IF(Load!$C$7&gt;=A31,Q32-R32,0)</f>
        <v>1780.8133238212065</v>
      </c>
      <c r="V32" s="134">
        <v>32</v>
      </c>
      <c r="W32" s="127" t="str">
        <f>IF(Load!$C$7=A32,Languages!$B$151,"")</f>
        <v/>
      </c>
      <c r="Z32" s="134">
        <v>32</v>
      </c>
      <c r="AA32" s="127" t="str">
        <f>IF(Load!$C$10=A32,Languages!$B$151,"")</f>
        <v/>
      </c>
    </row>
    <row r="33" spans="1:27">
      <c r="A33" s="122">
        <v>33</v>
      </c>
      <c r="B33" s="129" t="str">
        <f>IF(Load!$C$7=A33,N$6,(CONCATENATE(F33,".",M33)))</f>
        <v>02.09.17</v>
      </c>
      <c r="C33" s="130"/>
      <c r="D33" s="130"/>
      <c r="E33" s="130"/>
      <c r="F33" s="130" t="str">
        <f t="shared" si="0"/>
        <v>02.09</v>
      </c>
      <c r="G33" s="131" t="str">
        <f t="shared" si="1"/>
        <v>02.09</v>
      </c>
      <c r="H33" s="136">
        <f t="shared" si="7"/>
        <v>9</v>
      </c>
      <c r="I33" s="122">
        <f t="shared" si="2"/>
        <v>0</v>
      </c>
      <c r="J33" s="123" t="str">
        <f t="shared" si="3"/>
        <v>09</v>
      </c>
      <c r="K33" s="123">
        <f t="shared" si="6"/>
        <v>17</v>
      </c>
      <c r="L33" s="122" t="str">
        <f t="shared" si="4"/>
        <v/>
      </c>
      <c r="M33" s="122" t="str">
        <f t="shared" si="5"/>
        <v>17</v>
      </c>
      <c r="O33" s="133">
        <v>32</v>
      </c>
      <c r="P33" s="126">
        <f>IF(Load!$C$7&gt;=A31,P32-Dates!S32,0)</f>
        <v>9405.9271183871897</v>
      </c>
      <c r="Q33" s="126">
        <f>IF(Load!$C$7&gt;=A32,Dates!$U$2,0)</f>
        <v>1985.9035652616938</v>
      </c>
      <c r="R33" s="126">
        <f>P33*Load!$C$8/12</f>
        <v>172.44199717043182</v>
      </c>
      <c r="S33" s="126">
        <f>IF(Load!$C$7&gt;=A32,Q33-R33,0)</f>
        <v>1813.4615680912621</v>
      </c>
      <c r="V33" s="127">
        <v>33</v>
      </c>
      <c r="W33" s="127" t="str">
        <f>IF(Load!$C$7=A33,Languages!$B$151,"")</f>
        <v/>
      </c>
      <c r="Z33" s="127">
        <v>33</v>
      </c>
      <c r="AA33" s="127" t="str">
        <f>IF(Load!$C$10=A33,Languages!$B$151,"")</f>
        <v/>
      </c>
    </row>
    <row r="34" spans="1:27">
      <c r="A34" s="122">
        <v>34</v>
      </c>
      <c r="B34" s="129" t="str">
        <f>IF(Load!$C$7=A34,N$6,(CONCATENATE(F34,".",M34)))</f>
        <v>02.10.17</v>
      </c>
      <c r="C34" s="130"/>
      <c r="D34" s="130"/>
      <c r="E34" s="130"/>
      <c r="F34" s="130" t="str">
        <f t="shared" si="0"/>
        <v>02.10</v>
      </c>
      <c r="G34" s="131" t="str">
        <f t="shared" si="1"/>
        <v>02.10</v>
      </c>
      <c r="H34" s="136">
        <f t="shared" si="7"/>
        <v>10</v>
      </c>
      <c r="I34" s="122" t="str">
        <f t="shared" si="2"/>
        <v/>
      </c>
      <c r="J34" s="123" t="str">
        <f t="shared" si="3"/>
        <v>10</v>
      </c>
      <c r="K34" s="123">
        <f t="shared" si="6"/>
        <v>17</v>
      </c>
      <c r="L34" s="122" t="str">
        <f t="shared" si="4"/>
        <v/>
      </c>
      <c r="M34" s="122" t="str">
        <f t="shared" si="5"/>
        <v>17</v>
      </c>
      <c r="O34" s="133">
        <v>33</v>
      </c>
      <c r="P34" s="126">
        <f>IF(Load!$C$7&gt;=A32,P33-Dates!S33,0)</f>
        <v>7592.4655502959276</v>
      </c>
      <c r="Q34" s="126">
        <f>IF(Load!$C$7&gt;=A33,Dates!$U$2,0)</f>
        <v>1985.9035652616938</v>
      </c>
      <c r="R34" s="126">
        <f>P34*Load!$C$8/12</f>
        <v>139.19520175542536</v>
      </c>
      <c r="S34" s="126">
        <f>IF(Load!$C$7&gt;=A33,Q34-R34,0)</f>
        <v>1846.7083635062684</v>
      </c>
      <c r="V34" s="127">
        <v>34</v>
      </c>
      <c r="W34" s="127" t="str">
        <f>IF(Load!$C$7=A34,Languages!$B$151,"")</f>
        <v/>
      </c>
      <c r="Z34" s="127">
        <v>34</v>
      </c>
      <c r="AA34" s="127" t="str">
        <f>IF(Load!$C$10=A34,Languages!$B$151,"")</f>
        <v/>
      </c>
    </row>
    <row r="35" spans="1:27">
      <c r="A35" s="122">
        <v>35</v>
      </c>
      <c r="B35" s="129" t="str">
        <f>IF(Load!$C$7=A35,N$6,(CONCATENATE(F35,".",M35)))</f>
        <v>02.11.17</v>
      </c>
      <c r="C35" s="130"/>
      <c r="D35" s="130"/>
      <c r="E35" s="130"/>
      <c r="F35" s="130" t="str">
        <f t="shared" si="0"/>
        <v>02.11</v>
      </c>
      <c r="G35" s="131" t="str">
        <f t="shared" si="1"/>
        <v>02.11</v>
      </c>
      <c r="H35" s="136">
        <f t="shared" si="7"/>
        <v>11</v>
      </c>
      <c r="I35" s="122" t="str">
        <f t="shared" si="2"/>
        <v/>
      </c>
      <c r="J35" s="123" t="str">
        <f t="shared" si="3"/>
        <v>11</v>
      </c>
      <c r="K35" s="123">
        <f t="shared" si="6"/>
        <v>17</v>
      </c>
      <c r="L35" s="122" t="str">
        <f t="shared" si="4"/>
        <v/>
      </c>
      <c r="M35" s="122" t="str">
        <f t="shared" si="5"/>
        <v>17</v>
      </c>
      <c r="O35" s="133">
        <v>34</v>
      </c>
      <c r="P35" s="126">
        <f>IF(Load!$C$7&gt;=A33,P34-Dates!S34,0)</f>
        <v>5745.7571867896595</v>
      </c>
      <c r="Q35" s="126">
        <f>IF(Load!$C$7&gt;=A34,Dates!$U$2,0)</f>
        <v>1985.9035652616938</v>
      </c>
      <c r="R35" s="126">
        <f>P35*Load!$C$8/12</f>
        <v>105.33888175781043</v>
      </c>
      <c r="S35" s="126">
        <f>IF(Load!$C$7&gt;=A34,Q35-R35,0)</f>
        <v>1880.5646835038833</v>
      </c>
      <c r="V35" s="127">
        <v>35</v>
      </c>
      <c r="W35" s="127" t="str">
        <f>IF(Load!$C$7=A35,Languages!$B$152,"")</f>
        <v/>
      </c>
      <c r="Z35" s="127">
        <v>35</v>
      </c>
      <c r="AA35" s="127" t="str">
        <f>IF(Load!$C$10=A35,Languages!$B$152,"")</f>
        <v/>
      </c>
    </row>
    <row r="36" spans="1:27">
      <c r="A36" s="122">
        <v>36</v>
      </c>
      <c r="B36" s="129" t="str">
        <f>IF(Load!$C$7=A36,N$6,(CONCATENATE(F36,".",M36)))</f>
        <v>02.12.17</v>
      </c>
      <c r="C36" s="130"/>
      <c r="D36" s="130"/>
      <c r="E36" s="130"/>
      <c r="F36" s="130" t="str">
        <f t="shared" si="0"/>
        <v>02.12</v>
      </c>
      <c r="G36" s="131" t="str">
        <f t="shared" si="1"/>
        <v>02.12</v>
      </c>
      <c r="H36" s="136">
        <f t="shared" si="7"/>
        <v>12</v>
      </c>
      <c r="I36" s="122" t="str">
        <f t="shared" si="2"/>
        <v/>
      </c>
      <c r="J36" s="123" t="str">
        <f t="shared" si="3"/>
        <v>12</v>
      </c>
      <c r="K36" s="123">
        <f t="shared" si="6"/>
        <v>17</v>
      </c>
      <c r="L36" s="122" t="str">
        <f t="shared" si="4"/>
        <v/>
      </c>
      <c r="M36" s="122" t="str">
        <f t="shared" si="5"/>
        <v>17</v>
      </c>
      <c r="O36" s="133">
        <v>35</v>
      </c>
      <c r="P36" s="126">
        <f>IF(Load!$C$7&gt;=A34,P35-Dates!S35,0)</f>
        <v>3865.1925032857762</v>
      </c>
      <c r="Q36" s="126">
        <f>IF(Load!$C$7&gt;=A35,Dates!$U$2,0)</f>
        <v>1985.9035652616938</v>
      </c>
      <c r="R36" s="126">
        <f>P36*Load!$C$8/12</f>
        <v>70.861862560239231</v>
      </c>
      <c r="S36" s="126">
        <f>IF(Load!$C$7&gt;=A35,Q36-R36,0)</f>
        <v>1915.0417027014546</v>
      </c>
      <c r="V36" s="127">
        <v>36</v>
      </c>
      <c r="W36" s="127" t="str">
        <f>IF(Load!$C$7=A36,Languages!$B$152,"")</f>
        <v>Месяцев</v>
      </c>
      <c r="Z36" s="127">
        <v>36</v>
      </c>
      <c r="AA36" s="127" t="str">
        <f>IF(Load!$C$10=A36,Languages!$B$152,"")</f>
        <v/>
      </c>
    </row>
    <row r="37" spans="1:27">
      <c r="A37" s="122">
        <v>37</v>
      </c>
      <c r="B37" s="129" t="str">
        <f>IF(Load!$C$7=A37,N$6,(CONCATENATE(F37,".",M37)))</f>
        <v>02.01.18</v>
      </c>
      <c r="C37" s="130"/>
      <c r="D37" s="130"/>
      <c r="E37" s="130"/>
      <c r="F37" s="130" t="str">
        <f t="shared" si="0"/>
        <v>02.01</v>
      </c>
      <c r="G37" s="131" t="str">
        <f t="shared" si="1"/>
        <v>02.01</v>
      </c>
      <c r="H37" s="136">
        <f t="shared" si="7"/>
        <v>1</v>
      </c>
      <c r="I37" s="122">
        <f t="shared" si="2"/>
        <v>0</v>
      </c>
      <c r="J37" s="123" t="str">
        <f t="shared" si="3"/>
        <v>01</v>
      </c>
      <c r="K37" s="123">
        <f t="shared" si="6"/>
        <v>18</v>
      </c>
      <c r="L37" s="122" t="str">
        <f t="shared" si="4"/>
        <v/>
      </c>
      <c r="M37" s="122" t="str">
        <f t="shared" si="5"/>
        <v>18</v>
      </c>
      <c r="O37" s="133">
        <v>36</v>
      </c>
      <c r="P37" s="126">
        <f>IF(Load!$C$7&gt;=A35,P36-Dates!S36,0)</f>
        <v>1950.1508005843216</v>
      </c>
      <c r="Q37" s="126">
        <f>IF(Load!$C$7&gt;=A36,Dates!$U$2,0)</f>
        <v>1985.9035652616938</v>
      </c>
      <c r="R37" s="126">
        <f>P37*Load!$C$8/12</f>
        <v>35.752764677379226</v>
      </c>
      <c r="S37" s="126">
        <f>IF(Load!$C$7&gt;=A36,Q37-R37,0)</f>
        <v>1950.1508005843145</v>
      </c>
      <c r="V37" s="134">
        <v>37</v>
      </c>
      <c r="W37" s="127" t="str">
        <f>IF(Load!$C$7=A37,Languages!$B$152,"")</f>
        <v/>
      </c>
      <c r="Z37" s="134">
        <v>37</v>
      </c>
      <c r="AA37" s="127" t="str">
        <f>IF(Load!$C$10=A37,Languages!$B$152,"")</f>
        <v/>
      </c>
    </row>
    <row r="38" spans="1:27">
      <c r="A38" s="122">
        <v>38</v>
      </c>
      <c r="B38" s="129" t="str">
        <f>IF(Load!$C$7=A38,N$6,(CONCATENATE(F38,".",M38)))</f>
        <v>02.02.18</v>
      </c>
      <c r="F38" s="130" t="str">
        <f t="shared" si="0"/>
        <v>02.02</v>
      </c>
      <c r="G38" s="131" t="str">
        <f t="shared" si="1"/>
        <v>02.02</v>
      </c>
      <c r="H38" s="136">
        <f t="shared" si="7"/>
        <v>2</v>
      </c>
      <c r="I38" s="122">
        <f t="shared" si="2"/>
        <v>0</v>
      </c>
      <c r="J38" s="123" t="str">
        <f t="shared" si="3"/>
        <v>02</v>
      </c>
      <c r="K38" s="123">
        <f t="shared" si="6"/>
        <v>18</v>
      </c>
      <c r="L38" s="122" t="str">
        <f t="shared" si="4"/>
        <v/>
      </c>
      <c r="M38" s="122" t="str">
        <f t="shared" si="5"/>
        <v>18</v>
      </c>
      <c r="O38" s="133">
        <v>37</v>
      </c>
      <c r="P38" s="126">
        <f>IF(Load!$C$7&gt;=A36,P37-Dates!S37,0)</f>
        <v>7.0485839387401938E-12</v>
      </c>
      <c r="Q38" s="126">
        <f>IF(Load!$C$7&gt;=A37,Dates!$U$2,0)</f>
        <v>0</v>
      </c>
      <c r="R38" s="126">
        <f>P38*Load!$C$8/12</f>
        <v>1.2922403887690356E-13</v>
      </c>
      <c r="S38" s="126">
        <f>IF(Load!$C$7&gt;=A37,Q38-R38,0)</f>
        <v>0</v>
      </c>
      <c r="V38" s="127">
        <v>38</v>
      </c>
      <c r="W38" s="127" t="str">
        <f>IF(Load!$C$7=A38,Languages!$B$152,"")</f>
        <v/>
      </c>
      <c r="Z38" s="127">
        <v>38</v>
      </c>
      <c r="AA38" s="127" t="str">
        <f>IF(Load!$C$10=A38,Languages!$B$152,"")</f>
        <v/>
      </c>
    </row>
    <row r="39" spans="1:27">
      <c r="A39" s="122">
        <v>39</v>
      </c>
      <c r="B39" s="129" t="str">
        <f>IF(Load!$C$7=A39,N$6,(CONCATENATE(F39,".",M39)))</f>
        <v>02.03.18</v>
      </c>
      <c r="F39" s="130" t="str">
        <f t="shared" si="0"/>
        <v>02.03</v>
      </c>
      <c r="G39" s="131" t="str">
        <f t="shared" si="1"/>
        <v>02.03</v>
      </c>
      <c r="H39" s="136">
        <f t="shared" si="7"/>
        <v>3</v>
      </c>
      <c r="I39" s="122">
        <f t="shared" si="2"/>
        <v>0</v>
      </c>
      <c r="J39" s="123" t="str">
        <f t="shared" si="3"/>
        <v>03</v>
      </c>
      <c r="K39" s="123">
        <f t="shared" si="6"/>
        <v>18</v>
      </c>
      <c r="L39" s="122" t="str">
        <f t="shared" si="4"/>
        <v/>
      </c>
      <c r="M39" s="122" t="str">
        <f t="shared" si="5"/>
        <v>18</v>
      </c>
      <c r="O39" s="133">
        <v>38</v>
      </c>
      <c r="P39" s="126">
        <f>IF(Load!$C$7&gt;=A37,P38-Dates!S38,0)</f>
        <v>0</v>
      </c>
      <c r="Q39" s="126">
        <f>IF(Load!$C$7&gt;=A38,Dates!$U$2,0)</f>
        <v>0</v>
      </c>
      <c r="R39" s="126">
        <f>P39*Load!$C$8/12</f>
        <v>0</v>
      </c>
      <c r="S39" s="126">
        <f>IF(Load!$C$7&gt;=A38,Q39-R39,0)</f>
        <v>0</v>
      </c>
      <c r="V39" s="127">
        <v>39</v>
      </c>
      <c r="W39" s="127" t="str">
        <f>IF(Load!$C$7=A39,Languages!$B$152,"")</f>
        <v/>
      </c>
      <c r="Z39" s="127">
        <v>39</v>
      </c>
      <c r="AA39" s="127" t="str">
        <f>IF(Load!$C$10=A39,Languages!$B$152,"")</f>
        <v/>
      </c>
    </row>
    <row r="40" spans="1:27">
      <c r="A40" s="122">
        <v>40</v>
      </c>
      <c r="B40" s="129" t="str">
        <f>IF(Load!$C$7=A40,N$6,(CONCATENATE(F40,".",M40)))</f>
        <v>02.04.18</v>
      </c>
      <c r="F40" s="130" t="str">
        <f t="shared" si="0"/>
        <v>02.04</v>
      </c>
      <c r="G40" s="131" t="str">
        <f t="shared" si="1"/>
        <v>02.04</v>
      </c>
      <c r="H40" s="136">
        <f t="shared" si="7"/>
        <v>4</v>
      </c>
      <c r="I40" s="122">
        <f t="shared" si="2"/>
        <v>0</v>
      </c>
      <c r="J40" s="123" t="str">
        <f t="shared" si="3"/>
        <v>04</v>
      </c>
      <c r="K40" s="123">
        <f t="shared" si="6"/>
        <v>18</v>
      </c>
      <c r="L40" s="122" t="str">
        <f t="shared" si="4"/>
        <v/>
      </c>
      <c r="M40" s="122" t="str">
        <f t="shared" si="5"/>
        <v>18</v>
      </c>
      <c r="O40" s="133">
        <v>39</v>
      </c>
      <c r="P40" s="126">
        <f>IF(Load!$C$7&gt;=A38,P39-Dates!S39,0)</f>
        <v>0</v>
      </c>
      <c r="Q40" s="126">
        <f>IF(Load!$C$7&gt;=A39,Dates!$U$2,0)</f>
        <v>0</v>
      </c>
      <c r="R40" s="126">
        <f>P40*Load!$C$8/12</f>
        <v>0</v>
      </c>
      <c r="S40" s="126">
        <f>IF(Load!$C$7&gt;=A39,Q40-R40,0)</f>
        <v>0</v>
      </c>
      <c r="V40" s="127">
        <v>40</v>
      </c>
      <c r="W40" s="127" t="str">
        <f>IF(Load!$C$7=A40,Languages!$B$152,"")</f>
        <v/>
      </c>
      <c r="Z40" s="127">
        <v>40</v>
      </c>
      <c r="AA40" s="127" t="str">
        <f>IF(Load!$C$10=A40,Languages!$B$152,"")</f>
        <v/>
      </c>
    </row>
    <row r="41" spans="1:27">
      <c r="A41" s="122">
        <v>41</v>
      </c>
      <c r="B41" s="129" t="str">
        <f>IF(Load!$C$7=A41,N$6,(CONCATENATE(F41,".",M41)))</f>
        <v>02.05.18</v>
      </c>
      <c r="F41" s="130" t="str">
        <f t="shared" si="0"/>
        <v>02.05</v>
      </c>
      <c r="G41" s="131" t="str">
        <f t="shared" si="1"/>
        <v>02.05</v>
      </c>
      <c r="H41" s="136">
        <f t="shared" si="7"/>
        <v>5</v>
      </c>
      <c r="I41" s="122">
        <f t="shared" si="2"/>
        <v>0</v>
      </c>
      <c r="J41" s="123" t="str">
        <f t="shared" si="3"/>
        <v>05</v>
      </c>
      <c r="K41" s="123">
        <f t="shared" si="6"/>
        <v>18</v>
      </c>
      <c r="L41" s="122" t="str">
        <f t="shared" si="4"/>
        <v/>
      </c>
      <c r="M41" s="122" t="str">
        <f t="shared" si="5"/>
        <v>18</v>
      </c>
      <c r="O41" s="133">
        <v>40</v>
      </c>
      <c r="P41" s="126">
        <f>IF(Load!$C$7&gt;=A39,P40-Dates!S40,0)</f>
        <v>0</v>
      </c>
      <c r="Q41" s="126">
        <f>IF(Load!$C$7&gt;=A40,Dates!$U$2,0)</f>
        <v>0</v>
      </c>
      <c r="R41" s="126">
        <f>P41*Load!$C$8/12</f>
        <v>0</v>
      </c>
      <c r="S41" s="126">
        <f>IF(Load!$C$7&gt;=A40,Q41-R41,0)</f>
        <v>0</v>
      </c>
      <c r="V41" s="127">
        <v>41</v>
      </c>
      <c r="W41" s="127" t="str">
        <f>IF(Load!$C$7=A41,Languages!$B$150,"")</f>
        <v/>
      </c>
      <c r="Z41" s="127">
        <v>41</v>
      </c>
      <c r="AA41" s="127" t="str">
        <f>IF(Load!$C$10=A41,Languages!$B$150,"")</f>
        <v/>
      </c>
    </row>
    <row r="42" spans="1:27">
      <c r="A42" s="122">
        <v>42</v>
      </c>
      <c r="B42" s="129" t="str">
        <f>IF(Load!$C$7=A42,N$6,(CONCATENATE(F42,".",M42)))</f>
        <v>02.06.18</v>
      </c>
      <c r="F42" s="130" t="str">
        <f t="shared" si="0"/>
        <v>02.06</v>
      </c>
      <c r="G42" s="131" t="str">
        <f t="shared" si="1"/>
        <v>02.06</v>
      </c>
      <c r="H42" s="136">
        <f t="shared" si="7"/>
        <v>6</v>
      </c>
      <c r="I42" s="122">
        <f t="shared" si="2"/>
        <v>0</v>
      </c>
      <c r="J42" s="123" t="str">
        <f t="shared" si="3"/>
        <v>06</v>
      </c>
      <c r="K42" s="123">
        <f t="shared" si="6"/>
        <v>18</v>
      </c>
      <c r="L42" s="122" t="str">
        <f t="shared" si="4"/>
        <v/>
      </c>
      <c r="M42" s="122" t="str">
        <f t="shared" si="5"/>
        <v>18</v>
      </c>
      <c r="O42" s="133">
        <v>41</v>
      </c>
      <c r="P42" s="126">
        <f>IF(Load!$C$7&gt;=A40,P41-Dates!S41,0)</f>
        <v>0</v>
      </c>
      <c r="Q42" s="126">
        <f>IF(Load!$C$7&gt;=A41,Dates!$U$2,0)</f>
        <v>0</v>
      </c>
      <c r="R42" s="126">
        <f>P42*Load!$C$8/12</f>
        <v>0</v>
      </c>
      <c r="S42" s="126">
        <f>IF(Load!$C$7&gt;=A41,Q42-R42,0)</f>
        <v>0</v>
      </c>
      <c r="V42" s="134">
        <v>42</v>
      </c>
      <c r="W42" s="127" t="str">
        <f>IF(Load!$C$7=A42,Languages!$B$151,"")</f>
        <v/>
      </c>
      <c r="Z42" s="134">
        <v>42</v>
      </c>
      <c r="AA42" s="127" t="str">
        <f>IF(Load!$C$10=A42,Languages!$B$151,"")</f>
        <v/>
      </c>
    </row>
    <row r="43" spans="1:27">
      <c r="A43" s="122">
        <v>43</v>
      </c>
      <c r="B43" s="129" t="str">
        <f>IF(Load!$C$7=A43,N$6,(CONCATENATE(F43,".",M43)))</f>
        <v>02.07.18</v>
      </c>
      <c r="F43" s="130" t="str">
        <f t="shared" si="0"/>
        <v>02.07</v>
      </c>
      <c r="G43" s="131" t="str">
        <f t="shared" si="1"/>
        <v>02.07</v>
      </c>
      <c r="H43" s="136">
        <f t="shared" si="7"/>
        <v>7</v>
      </c>
      <c r="I43" s="122">
        <f t="shared" si="2"/>
        <v>0</v>
      </c>
      <c r="J43" s="123" t="str">
        <f t="shared" si="3"/>
        <v>07</v>
      </c>
      <c r="K43" s="123">
        <f t="shared" si="6"/>
        <v>18</v>
      </c>
      <c r="L43" s="122" t="str">
        <f t="shared" si="4"/>
        <v/>
      </c>
      <c r="M43" s="122" t="str">
        <f t="shared" si="5"/>
        <v>18</v>
      </c>
      <c r="O43" s="133">
        <v>42</v>
      </c>
      <c r="P43" s="126">
        <f>IF(Load!$C$7&gt;=A41,P42-Dates!S42,0)</f>
        <v>0</v>
      </c>
      <c r="Q43" s="126">
        <f>IF(Load!$C$7&gt;=A42,Dates!$U$2,0)</f>
        <v>0</v>
      </c>
      <c r="R43" s="126">
        <f>P43*Load!$C$8/12</f>
        <v>0</v>
      </c>
      <c r="S43" s="126">
        <f>IF(Load!$C$7&gt;=A42,Q43-R43,0)</f>
        <v>0</v>
      </c>
      <c r="V43" s="127">
        <v>43</v>
      </c>
      <c r="W43" s="127" t="str">
        <f>IF(Load!$C$7=A43,Languages!$B$151,"")</f>
        <v/>
      </c>
      <c r="Z43" s="127">
        <v>43</v>
      </c>
      <c r="AA43" s="127" t="str">
        <f>IF(Load!$C$10=A43,Languages!$B$151,"")</f>
        <v/>
      </c>
    </row>
    <row r="44" spans="1:27">
      <c r="A44" s="122">
        <v>44</v>
      </c>
      <c r="B44" s="129" t="str">
        <f>IF(Load!$C$7=A44,N$6,(CONCATENATE(F44,".",M44)))</f>
        <v>02.08.18</v>
      </c>
      <c r="F44" s="130" t="str">
        <f t="shared" si="0"/>
        <v>02.08</v>
      </c>
      <c r="G44" s="131" t="str">
        <f t="shared" si="1"/>
        <v>02.08</v>
      </c>
      <c r="H44" s="136">
        <f t="shared" si="7"/>
        <v>8</v>
      </c>
      <c r="I44" s="122">
        <f t="shared" si="2"/>
        <v>0</v>
      </c>
      <c r="J44" s="123" t="str">
        <f t="shared" si="3"/>
        <v>08</v>
      </c>
      <c r="K44" s="123">
        <f t="shared" si="6"/>
        <v>18</v>
      </c>
      <c r="L44" s="122" t="str">
        <f t="shared" si="4"/>
        <v/>
      </c>
      <c r="M44" s="122" t="str">
        <f t="shared" si="5"/>
        <v>18</v>
      </c>
      <c r="O44" s="133">
        <v>43</v>
      </c>
      <c r="P44" s="126">
        <f>IF(Load!$C$7&gt;=A42,P43-Dates!S43,0)</f>
        <v>0</v>
      </c>
      <c r="Q44" s="126">
        <f>IF(Load!$C$7&gt;=A43,Dates!$U$2,0)</f>
        <v>0</v>
      </c>
      <c r="R44" s="126">
        <f>P44*Load!$C$8/12</f>
        <v>0</v>
      </c>
      <c r="S44" s="126">
        <f>IF(Load!$C$7&gt;=A43,Q44-R44,0)</f>
        <v>0</v>
      </c>
      <c r="V44" s="127">
        <v>44</v>
      </c>
      <c r="W44" s="127" t="str">
        <f>IF(Load!$C$7=A44,Languages!$B$151,"")</f>
        <v/>
      </c>
      <c r="Z44" s="127">
        <v>44</v>
      </c>
      <c r="AA44" s="127" t="str">
        <f>IF(Load!$C$10=A44,Languages!$B$151,"")</f>
        <v/>
      </c>
    </row>
    <row r="45" spans="1:27">
      <c r="A45" s="122">
        <v>45</v>
      </c>
      <c r="B45" s="129" t="str">
        <f>IF(Load!$C$7=A45,N$6,(CONCATENATE(F45,".",M45)))</f>
        <v>02.09.18</v>
      </c>
      <c r="F45" s="130" t="str">
        <f t="shared" si="0"/>
        <v>02.09</v>
      </c>
      <c r="G45" s="131" t="str">
        <f t="shared" si="1"/>
        <v>02.09</v>
      </c>
      <c r="H45" s="136">
        <f t="shared" si="7"/>
        <v>9</v>
      </c>
      <c r="I45" s="122">
        <f t="shared" si="2"/>
        <v>0</v>
      </c>
      <c r="J45" s="123" t="str">
        <f t="shared" si="3"/>
        <v>09</v>
      </c>
      <c r="K45" s="123">
        <f t="shared" si="6"/>
        <v>18</v>
      </c>
      <c r="L45" s="122" t="str">
        <f t="shared" si="4"/>
        <v/>
      </c>
      <c r="M45" s="122" t="str">
        <f t="shared" si="5"/>
        <v>18</v>
      </c>
      <c r="O45" s="133">
        <v>44</v>
      </c>
      <c r="P45" s="126">
        <f>IF(Load!$C$7&gt;=A43,P44-Dates!S44,0)</f>
        <v>0</v>
      </c>
      <c r="Q45" s="126">
        <f>IF(Load!$C$7&gt;=A44,Dates!$U$2,0)</f>
        <v>0</v>
      </c>
      <c r="R45" s="126">
        <f>P45*Load!$C$8/12</f>
        <v>0</v>
      </c>
      <c r="S45" s="126">
        <f>IF(Load!$C$7&gt;=A44,Q45-R45,0)</f>
        <v>0</v>
      </c>
      <c r="V45" s="127">
        <v>45</v>
      </c>
      <c r="W45" s="127" t="str">
        <f>IF(Load!$C$7=A45,Languages!$B$152,"")</f>
        <v/>
      </c>
      <c r="Z45" s="127">
        <v>45</v>
      </c>
      <c r="AA45" s="127" t="str">
        <f>IF(Load!$C$10=A45,Languages!$B$152,"")</f>
        <v/>
      </c>
    </row>
    <row r="46" spans="1:27">
      <c r="A46" s="122">
        <v>46</v>
      </c>
      <c r="B46" s="129" t="str">
        <f>IF(Load!$C$7=A46,N$6,(CONCATENATE(F46,".",M46)))</f>
        <v>02.10.18</v>
      </c>
      <c r="F46" s="130" t="str">
        <f t="shared" si="0"/>
        <v>02.10</v>
      </c>
      <c r="G46" s="131" t="str">
        <f t="shared" si="1"/>
        <v>02.10</v>
      </c>
      <c r="H46" s="136">
        <f t="shared" si="7"/>
        <v>10</v>
      </c>
      <c r="I46" s="122" t="str">
        <f t="shared" si="2"/>
        <v/>
      </c>
      <c r="J46" s="123" t="str">
        <f t="shared" si="3"/>
        <v>10</v>
      </c>
      <c r="K46" s="123">
        <f t="shared" si="6"/>
        <v>18</v>
      </c>
      <c r="L46" s="122" t="str">
        <f t="shared" si="4"/>
        <v/>
      </c>
      <c r="M46" s="122" t="str">
        <f t="shared" si="5"/>
        <v>18</v>
      </c>
      <c r="O46" s="133">
        <v>45</v>
      </c>
      <c r="P46" s="126">
        <f>IF(Load!$C$7&gt;=A44,P45-Dates!S45,0)</f>
        <v>0</v>
      </c>
      <c r="Q46" s="126">
        <f>IF(Load!$C$7&gt;=A45,Dates!$U$2,0)</f>
        <v>0</v>
      </c>
      <c r="R46" s="126">
        <f>P46*Load!$C$8/12</f>
        <v>0</v>
      </c>
      <c r="S46" s="126">
        <f>IF(Load!$C$7&gt;=A45,Q46-R46,0)</f>
        <v>0</v>
      </c>
      <c r="V46" s="127">
        <v>46</v>
      </c>
      <c r="W46" s="127" t="str">
        <f>IF(Load!$C$7=A46,Languages!$B$152,"")</f>
        <v/>
      </c>
      <c r="Z46" s="127">
        <v>46</v>
      </c>
      <c r="AA46" s="127" t="str">
        <f>IF(Load!$C$10=A46,Languages!$B$152,"")</f>
        <v/>
      </c>
    </row>
    <row r="47" spans="1:27">
      <c r="A47" s="122">
        <v>47</v>
      </c>
      <c r="B47" s="129" t="str">
        <f>IF(Load!$C$7=A47,N$6,(CONCATENATE(F47,".",M47)))</f>
        <v>02.11.18</v>
      </c>
      <c r="F47" s="130" t="str">
        <f t="shared" si="0"/>
        <v>02.11</v>
      </c>
      <c r="G47" s="131" t="str">
        <f t="shared" si="1"/>
        <v>02.11</v>
      </c>
      <c r="H47" s="136">
        <f t="shared" si="7"/>
        <v>11</v>
      </c>
      <c r="I47" s="122" t="str">
        <f t="shared" si="2"/>
        <v/>
      </c>
      <c r="J47" s="123" t="str">
        <f t="shared" si="3"/>
        <v>11</v>
      </c>
      <c r="K47" s="123">
        <f t="shared" si="6"/>
        <v>18</v>
      </c>
      <c r="L47" s="122" t="str">
        <f t="shared" si="4"/>
        <v/>
      </c>
      <c r="M47" s="122" t="str">
        <f t="shared" si="5"/>
        <v>18</v>
      </c>
      <c r="O47" s="133">
        <v>46</v>
      </c>
      <c r="P47" s="126">
        <f>IF(Load!$C$7&gt;=A45,P46-Dates!S46,0)</f>
        <v>0</v>
      </c>
      <c r="Q47" s="126">
        <f>IF(Load!$C$7&gt;=A46,Dates!$U$2,0)</f>
        <v>0</v>
      </c>
      <c r="R47" s="126">
        <f>P47*Load!$C$8/12</f>
        <v>0</v>
      </c>
      <c r="S47" s="126">
        <f>IF(Load!$C$7&gt;=A46,Q47-R47,0)</f>
        <v>0</v>
      </c>
      <c r="V47" s="134">
        <v>47</v>
      </c>
      <c r="W47" s="127" t="str">
        <f>IF(Load!$C$7=A47,Languages!$B$152,"")</f>
        <v/>
      </c>
      <c r="Z47" s="134">
        <v>47</v>
      </c>
      <c r="AA47" s="127" t="str">
        <f>IF(Load!$C$10=A47,Languages!$B$152,"")</f>
        <v/>
      </c>
    </row>
    <row r="48" spans="1:27">
      <c r="A48" s="122">
        <v>48</v>
      </c>
      <c r="B48" s="129" t="str">
        <f>IF(Load!$C$7=A48,N$6,(CONCATENATE(F48,".",M48)))</f>
        <v>02.12.18</v>
      </c>
      <c r="F48" s="130" t="str">
        <f t="shared" si="0"/>
        <v>02.12</v>
      </c>
      <c r="G48" s="131" t="str">
        <f t="shared" si="1"/>
        <v>02.12</v>
      </c>
      <c r="H48" s="136">
        <f t="shared" si="7"/>
        <v>12</v>
      </c>
      <c r="I48" s="122" t="str">
        <f t="shared" si="2"/>
        <v/>
      </c>
      <c r="J48" s="123" t="str">
        <f t="shared" si="3"/>
        <v>12</v>
      </c>
      <c r="K48" s="123">
        <f t="shared" si="6"/>
        <v>18</v>
      </c>
      <c r="L48" s="122" t="str">
        <f t="shared" si="4"/>
        <v/>
      </c>
      <c r="M48" s="122" t="str">
        <f t="shared" si="5"/>
        <v>18</v>
      </c>
      <c r="O48" s="133">
        <v>47</v>
      </c>
      <c r="P48" s="126">
        <f>IF(Load!$C$7&gt;=A46,P47-Dates!S47,0)</f>
        <v>0</v>
      </c>
      <c r="Q48" s="126">
        <f>IF(Load!$C$7&gt;=A47,Dates!$U$2,0)</f>
        <v>0</v>
      </c>
      <c r="R48" s="126">
        <f>P48*Load!$C$8/12</f>
        <v>0</v>
      </c>
      <c r="S48" s="126">
        <f>IF(Load!$C$7&gt;=A47,Q48-R48,0)</f>
        <v>0</v>
      </c>
      <c r="V48" s="127">
        <v>48</v>
      </c>
      <c r="W48" s="127" t="str">
        <f>IF(Load!$C$7=A48,Languages!$B$152,"")</f>
        <v/>
      </c>
      <c r="Z48" s="127">
        <v>48</v>
      </c>
      <c r="AA48" s="127" t="str">
        <f>IF(Load!$C$10=A48,Languages!$B$152,"")</f>
        <v/>
      </c>
    </row>
    <row r="49" spans="1:27">
      <c r="A49" s="122">
        <v>49</v>
      </c>
      <c r="B49" s="129" t="str">
        <f>IF(Load!$C$7=A49,N$6,(CONCATENATE(F49,".",M49)))</f>
        <v>02.01.19</v>
      </c>
      <c r="F49" s="130" t="str">
        <f t="shared" si="0"/>
        <v>02.01</v>
      </c>
      <c r="G49" s="131" t="str">
        <f t="shared" si="1"/>
        <v>02.01</v>
      </c>
      <c r="H49" s="136">
        <f t="shared" si="7"/>
        <v>1</v>
      </c>
      <c r="I49" s="122">
        <f t="shared" si="2"/>
        <v>0</v>
      </c>
      <c r="J49" s="123" t="str">
        <f t="shared" si="3"/>
        <v>01</v>
      </c>
      <c r="K49" s="123">
        <f t="shared" si="6"/>
        <v>19</v>
      </c>
      <c r="L49" s="122" t="str">
        <f t="shared" si="4"/>
        <v/>
      </c>
      <c r="M49" s="122" t="str">
        <f t="shared" si="5"/>
        <v>19</v>
      </c>
      <c r="O49" s="133">
        <v>48</v>
      </c>
      <c r="P49" s="126">
        <f>IF(Load!$C$7&gt;=A47,P48-Dates!S48,0)</f>
        <v>0</v>
      </c>
      <c r="Q49" s="126">
        <f>IF(Load!$C$7&gt;=A48,Dates!$U$2,0)</f>
        <v>0</v>
      </c>
      <c r="R49" s="126">
        <f>P49*Load!$C$8/12</f>
        <v>0</v>
      </c>
      <c r="S49" s="126">
        <f>IF(Load!$C$7&gt;=A48,Q49-R49,0)</f>
        <v>0</v>
      </c>
      <c r="V49" s="127">
        <v>49</v>
      </c>
      <c r="W49" s="127" t="str">
        <f>IF(Load!$C$7=A49,Languages!$B$152,"")</f>
        <v/>
      </c>
      <c r="Z49" s="127">
        <v>49</v>
      </c>
      <c r="AA49" s="127" t="str">
        <f>IF(Load!$C$10=A49,Languages!$B$152,"")</f>
        <v/>
      </c>
    </row>
    <row r="50" spans="1:27">
      <c r="A50" s="122">
        <v>50</v>
      </c>
      <c r="B50" s="129" t="str">
        <f>IF(Load!$C$7=A50,N$6,(CONCATENATE(F50,".",M50)))</f>
        <v>02.02.19</v>
      </c>
      <c r="F50" s="130" t="str">
        <f t="shared" si="0"/>
        <v>02.02</v>
      </c>
      <c r="G50" s="131" t="str">
        <f t="shared" si="1"/>
        <v>02.02</v>
      </c>
      <c r="H50" s="136">
        <f t="shared" si="7"/>
        <v>2</v>
      </c>
      <c r="I50" s="122">
        <f t="shared" si="2"/>
        <v>0</v>
      </c>
      <c r="J50" s="123" t="str">
        <f t="shared" si="3"/>
        <v>02</v>
      </c>
      <c r="K50" s="123">
        <f t="shared" si="6"/>
        <v>19</v>
      </c>
      <c r="L50" s="122" t="str">
        <f t="shared" si="4"/>
        <v/>
      </c>
      <c r="M50" s="122" t="str">
        <f t="shared" si="5"/>
        <v>19</v>
      </c>
      <c r="O50" s="133">
        <v>49</v>
      </c>
      <c r="P50" s="126">
        <f>IF(Load!$C$7&gt;=A48,P49-Dates!S49,0)</f>
        <v>0</v>
      </c>
      <c r="Q50" s="126">
        <f>IF(Load!$C$7&gt;=A49,Dates!$U$2,0)</f>
        <v>0</v>
      </c>
      <c r="R50" s="126">
        <f>P50*Load!$C$8/12</f>
        <v>0</v>
      </c>
      <c r="S50" s="126">
        <f>IF(Load!$C$7&gt;=A49,Q50-R50,0)</f>
        <v>0</v>
      </c>
      <c r="V50" s="127">
        <v>50</v>
      </c>
      <c r="W50" s="127" t="str">
        <f>IF(Load!$C$7=A50,Languages!$B$152,"")</f>
        <v/>
      </c>
      <c r="Z50" s="127">
        <v>50</v>
      </c>
      <c r="AA50" s="127" t="str">
        <f>IF(Load!$C$10=A50,Languages!$B$152,"")</f>
        <v/>
      </c>
    </row>
    <row r="51" spans="1:27">
      <c r="A51" s="122">
        <v>51</v>
      </c>
      <c r="B51" s="129" t="str">
        <f>IF(Load!$C$7=A51,N$6,(CONCATENATE(F51,".",M51)))</f>
        <v>02.03.19</v>
      </c>
      <c r="F51" s="130" t="str">
        <f t="shared" si="0"/>
        <v>02.03</v>
      </c>
      <c r="G51" s="131" t="str">
        <f t="shared" si="1"/>
        <v>02.03</v>
      </c>
      <c r="H51" s="136">
        <f t="shared" si="7"/>
        <v>3</v>
      </c>
      <c r="I51" s="122">
        <f t="shared" si="2"/>
        <v>0</v>
      </c>
      <c r="J51" s="123" t="str">
        <f t="shared" si="3"/>
        <v>03</v>
      </c>
      <c r="K51" s="123">
        <f t="shared" si="6"/>
        <v>19</v>
      </c>
      <c r="L51" s="122" t="str">
        <f t="shared" si="4"/>
        <v/>
      </c>
      <c r="M51" s="122" t="str">
        <f t="shared" si="5"/>
        <v>19</v>
      </c>
      <c r="O51" s="133">
        <v>50</v>
      </c>
      <c r="P51" s="126">
        <f>IF(Load!$C$7&gt;=A49,P50-Dates!S50,0)</f>
        <v>0</v>
      </c>
      <c r="Q51" s="126">
        <f>IF(Load!$C$7&gt;=A50,Dates!$U$2,0)</f>
        <v>0</v>
      </c>
      <c r="R51" s="126">
        <f>P51*Load!$C$8/12</f>
        <v>0</v>
      </c>
      <c r="S51" s="126">
        <f>IF(Load!$C$7&gt;=A50,Q51-R51,0)</f>
        <v>0</v>
      </c>
      <c r="V51" s="127">
        <v>51</v>
      </c>
      <c r="W51" s="127" t="str">
        <f>IF(Load!$C$7=A51,Languages!$B$150,"")</f>
        <v/>
      </c>
      <c r="Z51" s="127">
        <v>51</v>
      </c>
      <c r="AA51" s="127" t="str">
        <f>IF(Load!$C$10=A51,Languages!$B$150,"")</f>
        <v/>
      </c>
    </row>
    <row r="52" spans="1:27">
      <c r="A52" s="122">
        <v>52</v>
      </c>
      <c r="B52" s="129" t="str">
        <f>IF(Load!$C$7=A52,N$6,(CONCATENATE(F52,".",M52)))</f>
        <v>02.04.19</v>
      </c>
      <c r="F52" s="130" t="str">
        <f t="shared" si="0"/>
        <v>02.04</v>
      </c>
      <c r="G52" s="131" t="str">
        <f t="shared" si="1"/>
        <v>02.04</v>
      </c>
      <c r="H52" s="136">
        <f t="shared" si="7"/>
        <v>4</v>
      </c>
      <c r="I52" s="122">
        <f t="shared" si="2"/>
        <v>0</v>
      </c>
      <c r="J52" s="123" t="str">
        <f t="shared" si="3"/>
        <v>04</v>
      </c>
      <c r="K52" s="123">
        <f t="shared" si="6"/>
        <v>19</v>
      </c>
      <c r="L52" s="122" t="str">
        <f t="shared" si="4"/>
        <v/>
      </c>
      <c r="M52" s="122" t="str">
        <f t="shared" si="5"/>
        <v>19</v>
      </c>
      <c r="O52" s="133">
        <v>51</v>
      </c>
      <c r="P52" s="126">
        <f>IF(Load!$C$7&gt;=A50,P51-Dates!S51,0)</f>
        <v>0</v>
      </c>
      <c r="Q52" s="126">
        <f>IF(Load!$C$7&gt;=A51,Dates!$U$2,0)</f>
        <v>0</v>
      </c>
      <c r="R52" s="126">
        <f>P52*Load!$C$8/12</f>
        <v>0</v>
      </c>
      <c r="S52" s="126">
        <f>IF(Load!$C$7&gt;=A51,Q52-R52,0)</f>
        <v>0</v>
      </c>
      <c r="V52" s="134">
        <v>52</v>
      </c>
      <c r="W52" s="127" t="str">
        <f>IF(Load!$C$7=A52,Languages!$B$151,"")</f>
        <v/>
      </c>
      <c r="Z52" s="134">
        <v>52</v>
      </c>
      <c r="AA52" s="127" t="str">
        <f>IF(Load!$C$10=A52,Languages!$B$151,"")</f>
        <v/>
      </c>
    </row>
    <row r="53" spans="1:27">
      <c r="A53" s="122">
        <v>53</v>
      </c>
      <c r="B53" s="129" t="str">
        <f>IF(Load!$C$7=A53,N$6,(CONCATENATE(F53,".",M53)))</f>
        <v>02.05.19</v>
      </c>
      <c r="F53" s="130" t="str">
        <f t="shared" si="0"/>
        <v>02.05</v>
      </c>
      <c r="G53" s="131" t="str">
        <f t="shared" si="1"/>
        <v>02.05</v>
      </c>
      <c r="H53" s="136">
        <f t="shared" si="7"/>
        <v>5</v>
      </c>
      <c r="I53" s="122">
        <f t="shared" si="2"/>
        <v>0</v>
      </c>
      <c r="J53" s="123" t="str">
        <f t="shared" si="3"/>
        <v>05</v>
      </c>
      <c r="K53" s="123">
        <f t="shared" si="6"/>
        <v>19</v>
      </c>
      <c r="L53" s="122" t="str">
        <f t="shared" si="4"/>
        <v/>
      </c>
      <c r="M53" s="122" t="str">
        <f t="shared" si="5"/>
        <v>19</v>
      </c>
      <c r="O53" s="133">
        <v>52</v>
      </c>
      <c r="P53" s="126">
        <f>IF(Load!$C$7&gt;=A51,P52-Dates!S52,0)</f>
        <v>0</v>
      </c>
      <c r="Q53" s="126">
        <f>IF(Load!$C$7&gt;=A52,Dates!$U$2,0)</f>
        <v>0</v>
      </c>
      <c r="R53" s="126">
        <f>P53*Load!$C$8/12</f>
        <v>0</v>
      </c>
      <c r="S53" s="126">
        <f>IF(Load!$C$7&gt;=A52,Q53-R53,0)</f>
        <v>0</v>
      </c>
      <c r="V53" s="127">
        <v>53</v>
      </c>
      <c r="W53" s="127" t="str">
        <f>IF(Load!$C$7=A53,Languages!$B$151,"")</f>
        <v/>
      </c>
      <c r="Z53" s="127">
        <v>53</v>
      </c>
      <c r="AA53" s="127" t="str">
        <f>IF(Load!$C$10=A53,Languages!$B$151,"")</f>
        <v/>
      </c>
    </row>
    <row r="54" spans="1:27">
      <c r="A54" s="122">
        <v>54</v>
      </c>
      <c r="B54" s="129" t="str">
        <f>IF(Load!$C$7=A54,N$6,(CONCATENATE(F54,".",M54)))</f>
        <v>02.06.19</v>
      </c>
      <c r="F54" s="130" t="str">
        <f t="shared" si="0"/>
        <v>02.06</v>
      </c>
      <c r="G54" s="131" t="str">
        <f t="shared" si="1"/>
        <v>02.06</v>
      </c>
      <c r="H54" s="136">
        <f t="shared" si="7"/>
        <v>6</v>
      </c>
      <c r="I54" s="122">
        <f t="shared" si="2"/>
        <v>0</v>
      </c>
      <c r="J54" s="123" t="str">
        <f t="shared" si="3"/>
        <v>06</v>
      </c>
      <c r="K54" s="123">
        <f t="shared" si="6"/>
        <v>19</v>
      </c>
      <c r="L54" s="122" t="str">
        <f t="shared" si="4"/>
        <v/>
      </c>
      <c r="M54" s="122" t="str">
        <f t="shared" si="5"/>
        <v>19</v>
      </c>
      <c r="O54" s="133">
        <v>53</v>
      </c>
      <c r="P54" s="126">
        <f>IF(Load!$C$7&gt;=A52,P53-Dates!S53,0)</f>
        <v>0</v>
      </c>
      <c r="Q54" s="126">
        <f>IF(Load!$C$7&gt;=A53,Dates!$U$2,0)</f>
        <v>0</v>
      </c>
      <c r="R54" s="126">
        <f>P54*Load!$C$8/12</f>
        <v>0</v>
      </c>
      <c r="S54" s="126">
        <f>IF(Load!$C$7&gt;=A53,Q54-R54,0)</f>
        <v>0</v>
      </c>
      <c r="V54" s="127">
        <v>54</v>
      </c>
      <c r="W54" s="127" t="str">
        <f>IF(Load!$C$7=A54,Languages!$B$151,"")</f>
        <v/>
      </c>
      <c r="Z54" s="127">
        <v>54</v>
      </c>
      <c r="AA54" s="127" t="str">
        <f>IF(Load!$C$10=A54,Languages!$B$151,"")</f>
        <v/>
      </c>
    </row>
    <row r="55" spans="1:27">
      <c r="A55" s="122">
        <v>55</v>
      </c>
      <c r="B55" s="129" t="str">
        <f>IF(Load!$C$7=A55,N$6,(CONCATENATE(F55,".",M55)))</f>
        <v>02.07.19</v>
      </c>
      <c r="F55" s="130" t="str">
        <f>IF(G55="29.02","28.02",IF(G55="30.02","28.02",IF(G55="31.02","28.02",G55)))</f>
        <v>02.07</v>
      </c>
      <c r="G55" s="131" t="str">
        <f t="shared" si="1"/>
        <v>02.07</v>
      </c>
      <c r="H55" s="136">
        <f t="shared" si="7"/>
        <v>7</v>
      </c>
      <c r="I55" s="122">
        <f t="shared" si="2"/>
        <v>0</v>
      </c>
      <c r="J55" s="123" t="str">
        <f t="shared" si="3"/>
        <v>07</v>
      </c>
      <c r="K55" s="123">
        <f t="shared" si="6"/>
        <v>19</v>
      </c>
      <c r="L55" s="122" t="str">
        <f t="shared" si="4"/>
        <v/>
      </c>
      <c r="M55" s="122" t="str">
        <f t="shared" si="5"/>
        <v>19</v>
      </c>
      <c r="O55" s="133">
        <v>54</v>
      </c>
      <c r="P55" s="126">
        <f>IF(Load!$C$7&gt;=A53,P54-Dates!S54,0)</f>
        <v>0</v>
      </c>
      <c r="Q55" s="126">
        <f>IF(Load!$C$7&gt;=A54,Dates!$U$2,0)</f>
        <v>0</v>
      </c>
      <c r="R55" s="126">
        <f>P55*Load!$C$8/12</f>
        <v>0</v>
      </c>
      <c r="S55" s="126">
        <f>IF(Load!$C$7&gt;=A54,Q55-R55,0)</f>
        <v>0</v>
      </c>
      <c r="V55" s="127">
        <v>55</v>
      </c>
      <c r="W55" s="127" t="str">
        <f>IF(Load!$C$7=A55,Languages!$B$152,"")</f>
        <v/>
      </c>
      <c r="Z55" s="127">
        <v>55</v>
      </c>
      <c r="AA55" s="127" t="str">
        <f>IF(Load!$C$10=A55,Languages!$B$152,"")</f>
        <v/>
      </c>
    </row>
    <row r="56" spans="1:27">
      <c r="A56" s="122">
        <v>56</v>
      </c>
      <c r="B56" s="129" t="str">
        <f>IF(Load!$C$7=A56,N$6,(CONCATENATE(F56,".",M56)))</f>
        <v>02.08.19</v>
      </c>
      <c r="F56" s="130" t="str">
        <f t="shared" si="0"/>
        <v>02.08</v>
      </c>
      <c r="G56" s="131" t="str">
        <f t="shared" si="1"/>
        <v>02.08</v>
      </c>
      <c r="H56" s="136">
        <f t="shared" si="7"/>
        <v>8</v>
      </c>
      <c r="I56" s="122">
        <f t="shared" si="2"/>
        <v>0</v>
      </c>
      <c r="J56" s="123" t="str">
        <f t="shared" si="3"/>
        <v>08</v>
      </c>
      <c r="K56" s="123">
        <f t="shared" si="6"/>
        <v>19</v>
      </c>
      <c r="L56" s="122" t="str">
        <f t="shared" si="4"/>
        <v/>
      </c>
      <c r="M56" s="122" t="str">
        <f t="shared" si="5"/>
        <v>19</v>
      </c>
      <c r="O56" s="133">
        <v>55</v>
      </c>
      <c r="P56" s="126">
        <f>IF(Load!$C$7&gt;=A54,P55-Dates!S55,0)</f>
        <v>0</v>
      </c>
      <c r="Q56" s="126">
        <f>IF(Load!$C$7&gt;=A55,Dates!$U$2,0)</f>
        <v>0</v>
      </c>
      <c r="R56" s="126">
        <f>P56*Load!$C$8/12</f>
        <v>0</v>
      </c>
      <c r="S56" s="126">
        <f>IF(Load!$C$7&gt;=A55,Q56-R56,0)</f>
        <v>0</v>
      </c>
      <c r="V56" s="127">
        <v>56</v>
      </c>
      <c r="W56" s="127" t="str">
        <f>IF(Load!$C$7=A56,Languages!$B$152,"")</f>
        <v/>
      </c>
      <c r="Z56" s="127">
        <v>56</v>
      </c>
      <c r="AA56" s="127" t="str">
        <f>IF(Load!$C$10=A56,Languages!$B$152,"")</f>
        <v/>
      </c>
    </row>
    <row r="57" spans="1:27">
      <c r="A57" s="122">
        <v>57</v>
      </c>
      <c r="B57" s="129" t="str">
        <f>IF(Load!$C$7=A57,N$6,(CONCATENATE(F57,".",M57)))</f>
        <v>02.09.19</v>
      </c>
      <c r="F57" s="130" t="str">
        <f t="shared" si="0"/>
        <v>02.09</v>
      </c>
      <c r="G57" s="131" t="str">
        <f t="shared" si="1"/>
        <v>02.09</v>
      </c>
      <c r="H57" s="136">
        <f t="shared" si="7"/>
        <v>9</v>
      </c>
      <c r="I57" s="122">
        <f t="shared" si="2"/>
        <v>0</v>
      </c>
      <c r="J57" s="123" t="str">
        <f t="shared" si="3"/>
        <v>09</v>
      </c>
      <c r="K57" s="123">
        <f t="shared" si="6"/>
        <v>19</v>
      </c>
      <c r="L57" s="122" t="str">
        <f t="shared" si="4"/>
        <v/>
      </c>
      <c r="M57" s="122" t="str">
        <f t="shared" si="5"/>
        <v>19</v>
      </c>
      <c r="O57" s="133">
        <v>56</v>
      </c>
      <c r="P57" s="126">
        <f>IF(Load!$C$7&gt;=A55,P56-Dates!S56,0)</f>
        <v>0</v>
      </c>
      <c r="Q57" s="126">
        <f>IF(Load!$C$7&gt;=A56,Dates!$U$2,0)</f>
        <v>0</v>
      </c>
      <c r="R57" s="126">
        <f>P57*Load!$C$8/12</f>
        <v>0</v>
      </c>
      <c r="S57" s="126">
        <f>IF(Load!$C$7&gt;=A56,Q57-R57,0)</f>
        <v>0</v>
      </c>
      <c r="V57" s="134">
        <v>57</v>
      </c>
      <c r="W57" s="127" t="str">
        <f>IF(Load!$C$7=A57,Languages!$B$152,"")</f>
        <v/>
      </c>
      <c r="Z57" s="134">
        <v>57</v>
      </c>
      <c r="AA57" s="127" t="str">
        <f>IF(Load!$C$10=A57,Languages!$B$152,"")</f>
        <v/>
      </c>
    </row>
    <row r="58" spans="1:27">
      <c r="A58" s="122">
        <v>58</v>
      </c>
      <c r="B58" s="129" t="str">
        <f>IF(Load!$C$7=A58,N$6,(CONCATENATE(F58,".",M58)))</f>
        <v>02.10.19</v>
      </c>
      <c r="F58" s="130" t="str">
        <f t="shared" si="0"/>
        <v>02.10</v>
      </c>
      <c r="G58" s="131" t="str">
        <f t="shared" si="1"/>
        <v>02.10</v>
      </c>
      <c r="H58" s="136">
        <f t="shared" si="7"/>
        <v>10</v>
      </c>
      <c r="I58" s="122" t="str">
        <f t="shared" si="2"/>
        <v/>
      </c>
      <c r="J58" s="123" t="str">
        <f t="shared" si="3"/>
        <v>10</v>
      </c>
      <c r="K58" s="123">
        <f t="shared" si="6"/>
        <v>19</v>
      </c>
      <c r="L58" s="122" t="str">
        <f t="shared" si="4"/>
        <v/>
      </c>
      <c r="M58" s="122" t="str">
        <f t="shared" si="5"/>
        <v>19</v>
      </c>
      <c r="O58" s="133">
        <v>57</v>
      </c>
      <c r="P58" s="126">
        <f>IF(Load!$C$7&gt;=A56,P57-Dates!S57,0)</f>
        <v>0</v>
      </c>
      <c r="Q58" s="126">
        <f>IF(Load!$C$7&gt;=A57,Dates!$U$2,0)</f>
        <v>0</v>
      </c>
      <c r="R58" s="126">
        <f>P58*Load!$C$8/12</f>
        <v>0</v>
      </c>
      <c r="S58" s="126">
        <f>IF(Load!$C$7&gt;=A57,Q58-R58,0)</f>
        <v>0</v>
      </c>
      <c r="V58" s="127">
        <v>58</v>
      </c>
      <c r="W58" s="127" t="str">
        <f>IF(Load!$C$7=A58,Languages!$B$152,"")</f>
        <v/>
      </c>
      <c r="Z58" s="127">
        <v>58</v>
      </c>
      <c r="AA58" s="127" t="str">
        <f>IF(Load!$C$10=A58,Languages!$B$152,"")</f>
        <v/>
      </c>
    </row>
    <row r="59" spans="1:27">
      <c r="A59" s="122">
        <v>59</v>
      </c>
      <c r="B59" s="129" t="str">
        <f>IF(Load!$C$7=A59,N$6,(CONCATENATE(F59,".",M59)))</f>
        <v>02.11.19</v>
      </c>
      <c r="F59" s="130" t="str">
        <f t="shared" si="0"/>
        <v>02.11</v>
      </c>
      <c r="G59" s="131" t="str">
        <f t="shared" si="1"/>
        <v>02.11</v>
      </c>
      <c r="H59" s="136">
        <f t="shared" si="7"/>
        <v>11</v>
      </c>
      <c r="I59" s="122" t="str">
        <f t="shared" si="2"/>
        <v/>
      </c>
      <c r="J59" s="123" t="str">
        <f t="shared" si="3"/>
        <v>11</v>
      </c>
      <c r="K59" s="123">
        <f t="shared" si="6"/>
        <v>19</v>
      </c>
      <c r="L59" s="122" t="str">
        <f t="shared" si="4"/>
        <v/>
      </c>
      <c r="M59" s="122" t="str">
        <f t="shared" si="5"/>
        <v>19</v>
      </c>
      <c r="O59" s="133">
        <v>58</v>
      </c>
      <c r="P59" s="126">
        <f>IF(Load!$C$7&gt;=A57,P58-Dates!S58,0)</f>
        <v>0</v>
      </c>
      <c r="Q59" s="126">
        <f>IF(Load!$C$7&gt;=A58,Dates!$U$2,0)</f>
        <v>0</v>
      </c>
      <c r="R59" s="126">
        <f>P59*Load!$C$8/12</f>
        <v>0</v>
      </c>
      <c r="S59" s="126">
        <f>IF(Load!$C$7&gt;=A58,Q59-R59,0)</f>
        <v>0</v>
      </c>
      <c r="V59" s="127">
        <v>59</v>
      </c>
      <c r="W59" s="127" t="str">
        <f>IF(Load!$C$7=A59,Languages!$B$152,"")</f>
        <v/>
      </c>
      <c r="Z59" s="127">
        <v>59</v>
      </c>
      <c r="AA59" s="127" t="str">
        <f>IF(Load!$C$10=A59,Languages!$B$152,"")</f>
        <v/>
      </c>
    </row>
    <row r="60" spans="1:27">
      <c r="A60" s="122">
        <v>60</v>
      </c>
      <c r="B60" s="129" t="str">
        <f>IF(Load!$C$7=A60,N$6,(CONCATENATE(F60,".",M60)))</f>
        <v>02.12.19</v>
      </c>
      <c r="F60" s="130" t="str">
        <f t="shared" si="0"/>
        <v>02.12</v>
      </c>
      <c r="G60" s="131" t="str">
        <f t="shared" si="1"/>
        <v>02.12</v>
      </c>
      <c r="H60" s="136">
        <f t="shared" si="7"/>
        <v>12</v>
      </c>
      <c r="I60" s="122" t="str">
        <f t="shared" si="2"/>
        <v/>
      </c>
      <c r="J60" s="123" t="str">
        <f t="shared" si="3"/>
        <v>12</v>
      </c>
      <c r="K60" s="123">
        <f t="shared" si="6"/>
        <v>19</v>
      </c>
      <c r="L60" s="122" t="str">
        <f t="shared" si="4"/>
        <v/>
      </c>
      <c r="M60" s="122" t="str">
        <f t="shared" si="5"/>
        <v>19</v>
      </c>
      <c r="O60" s="133">
        <v>59</v>
      </c>
      <c r="P60" s="126">
        <f>IF(Load!$C$7&gt;=A58,P59-Dates!S59,0)</f>
        <v>0</v>
      </c>
      <c r="Q60" s="126">
        <f>IF(Load!$C$7&gt;=A59,Dates!$U$2,0)</f>
        <v>0</v>
      </c>
      <c r="R60" s="126">
        <f>P60*Load!$C$8/12</f>
        <v>0</v>
      </c>
      <c r="S60" s="126">
        <f>IF(Load!$C$7&gt;=A59,Q60-R60,0)</f>
        <v>0</v>
      </c>
      <c r="V60" s="127">
        <v>60</v>
      </c>
      <c r="W60" s="127" t="str">
        <f>IF(Load!$C$7=A60,Languages!$B$152,"")</f>
        <v/>
      </c>
      <c r="Z60" s="127">
        <v>60</v>
      </c>
      <c r="AA60" s="127" t="str">
        <f>IF(Load!$C$10=A60,Languages!$B$152,"")</f>
        <v/>
      </c>
    </row>
    <row r="61" spans="1:27">
      <c r="A61" s="122">
        <v>61</v>
      </c>
      <c r="B61" s="129"/>
      <c r="O61" s="133">
        <v>60</v>
      </c>
      <c r="P61" s="126">
        <f>IF(Load!$C$7&gt;=A59,P60-Dates!S60,0)</f>
        <v>0</v>
      </c>
      <c r="Q61" s="126">
        <f>IF(Load!$C$7&gt;=A60,Dates!$U$2,0)</f>
        <v>0</v>
      </c>
      <c r="R61" s="126">
        <f>P61*Load!$C$8/12</f>
        <v>0</v>
      </c>
      <c r="S61" s="126">
        <f>IF(Load!$C$7&gt;=A60,Q61-R61,0)</f>
        <v>0</v>
      </c>
    </row>
    <row r="62" spans="1:27">
      <c r="A62" s="122">
        <v>62</v>
      </c>
    </row>
    <row r="63" spans="1:27">
      <c r="A63" s="122">
        <v>63</v>
      </c>
      <c r="F63" s="139"/>
      <c r="G63" s="139"/>
    </row>
    <row r="64" spans="1:27">
      <c r="A64" s="122">
        <v>64</v>
      </c>
      <c r="F64" s="139"/>
    </row>
    <row r="65" spans="1:6">
      <c r="A65" s="122">
        <v>65</v>
      </c>
      <c r="F65" s="139"/>
    </row>
    <row r="66" spans="1:6">
      <c r="A66" s="122">
        <v>66</v>
      </c>
      <c r="F66" s="139"/>
    </row>
    <row r="67" spans="1:6">
      <c r="A67" s="122">
        <v>67</v>
      </c>
      <c r="F67" s="139"/>
    </row>
    <row r="68" spans="1:6">
      <c r="A68" s="122">
        <v>68</v>
      </c>
      <c r="F68" s="139"/>
    </row>
    <row r="69" spans="1:6">
      <c r="A69" s="122">
        <v>69</v>
      </c>
      <c r="F69" s="139"/>
    </row>
    <row r="70" spans="1:6">
      <c r="A70" s="122">
        <v>70</v>
      </c>
      <c r="F70" s="139"/>
    </row>
    <row r="71" spans="1:6">
      <c r="A71" s="122">
        <v>71</v>
      </c>
      <c r="F71" s="139"/>
    </row>
    <row r="72" spans="1:6">
      <c r="A72" s="122">
        <v>72</v>
      </c>
      <c r="F72" s="139"/>
    </row>
    <row r="73" spans="1:6">
      <c r="A73" s="122">
        <v>73</v>
      </c>
      <c r="F73" s="139"/>
    </row>
    <row r="74" spans="1:6">
      <c r="A74" s="122">
        <v>74</v>
      </c>
      <c r="F74" s="139"/>
    </row>
    <row r="75" spans="1:6">
      <c r="A75" s="122">
        <v>75</v>
      </c>
      <c r="F75" s="139"/>
    </row>
    <row r="76" spans="1:6">
      <c r="A76" s="122">
        <v>76</v>
      </c>
      <c r="F76" s="139"/>
    </row>
    <row r="77" spans="1:6">
      <c r="A77" s="122">
        <v>77</v>
      </c>
      <c r="F77" s="139"/>
    </row>
    <row r="78" spans="1:6">
      <c r="F78" s="139"/>
    </row>
  </sheetData>
  <sheetProtection formatCells="0" formatColumns="0" formatRows="0" insertColumns="0" insertRows="0" insertHyperlinks="0" deleteColumns="0" deleteRows="0" sort="0" autoFilter="0" pivotTables="0"/>
  <customSheetViews>
    <customSheetView guid="{2D8FE04E-10B5-4EAA-93D2-EE669C206AFD}" topLeftCell="A13">
      <selection activeCell="A35" sqref="A35"/>
      <pageMargins left="0.75" right="0.75" top="1" bottom="1" header="0.5" footer="0.5"/>
      <headerFooter alignWithMargins="0"/>
    </customSheetView>
    <customSheetView guid="{5171270A-F9AF-4D41-A7C6-60AFF57C569E}" topLeftCell="A43">
      <selection activeCell="U2" sqref="U2"/>
      <pageMargins left="0.75" right="0.75" top="1" bottom="1" header="0.5" footer="0.5"/>
      <headerFooter alignWithMargins="0"/>
    </customSheetView>
    <customSheetView guid="{13FA8F4C-0951-4875-9D44-4989C5CEBB01}" topLeftCell="A43">
      <selection activeCell="U2" sqref="U2"/>
      <pageMargins left="0.75" right="0.75" top="1" bottom="1" header="0.5" footer="0.5"/>
      <headerFooter alignWithMargins="0"/>
    </customSheetView>
    <customSheetView guid="{77B961DF-431A-4785-A57B-FF1BA0586569}" state="hidden" showRuler="0">
      <selection activeCell="M9" sqref="M9"/>
      <pageMargins left="0.75" right="0.75" top="1" bottom="1" header="0.5" footer="0.5"/>
      <headerFooter alignWithMargins="0"/>
    </customSheetView>
    <customSheetView guid="{AD887635-810A-407C-BA16-5AFA4A800B29}" state="hidden" showRuler="0">
      <selection activeCell="M9" sqref="M9"/>
      <pageMargins left="0.75" right="0.75" top="1" bottom="1" header="0.5" footer="0.5"/>
      <headerFooter alignWithMargins="0"/>
    </customSheetView>
    <customSheetView guid="{C56ABC15-C776-4280-9985-F20AC3F66C8A}" topLeftCell="A43">
      <selection activeCell="U2" sqref="U2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165"/>
  <sheetViews>
    <sheetView topLeftCell="A77" zoomScaleNormal="100" workbookViewId="0">
      <selection activeCell="B87" sqref="B87"/>
    </sheetView>
  </sheetViews>
  <sheetFormatPr defaultRowHeight="12.75"/>
  <cols>
    <col min="1" max="1" width="31.140625" style="106" customWidth="1"/>
    <col min="2" max="2" width="34.5703125" style="106" bestFit="1" customWidth="1"/>
    <col min="3" max="3" width="27.7109375" style="106" customWidth="1"/>
    <col min="4" max="16384" width="9.140625" style="106"/>
  </cols>
  <sheetData>
    <row r="1" spans="1:8">
      <c r="A1" s="106" t="s">
        <v>4</v>
      </c>
      <c r="B1" s="107">
        <v>1</v>
      </c>
      <c r="C1" s="106" t="s">
        <v>5</v>
      </c>
      <c r="E1" s="108" t="s">
        <v>207</v>
      </c>
      <c r="F1" s="108"/>
      <c r="G1" s="108"/>
      <c r="H1" s="108"/>
    </row>
    <row r="2" spans="1:8">
      <c r="A2" s="106" t="s">
        <v>43</v>
      </c>
      <c r="B2" s="106" t="s">
        <v>6</v>
      </c>
      <c r="C2" s="106" t="s">
        <v>205</v>
      </c>
      <c r="E2" s="108" t="s">
        <v>208</v>
      </c>
      <c r="F2" s="108"/>
      <c r="G2" s="108"/>
      <c r="H2" s="108"/>
    </row>
    <row r="3" spans="1:8">
      <c r="A3" s="106" t="s">
        <v>44</v>
      </c>
      <c r="B3" s="106" t="s">
        <v>7</v>
      </c>
      <c r="C3" s="106" t="s">
        <v>141</v>
      </c>
    </row>
    <row r="4" spans="1:8">
      <c r="A4" s="109" t="s">
        <v>45</v>
      </c>
      <c r="B4" s="106" t="s">
        <v>12</v>
      </c>
      <c r="C4" s="106" t="s">
        <v>107</v>
      </c>
    </row>
    <row r="5" spans="1:8">
      <c r="A5" s="109" t="s">
        <v>46</v>
      </c>
      <c r="B5" s="106" t="s">
        <v>11</v>
      </c>
      <c r="C5" s="109" t="s">
        <v>142</v>
      </c>
    </row>
    <row r="6" spans="1:8">
      <c r="A6" s="109" t="s">
        <v>47</v>
      </c>
      <c r="B6" s="106" t="s">
        <v>13</v>
      </c>
      <c r="C6" s="109" t="s">
        <v>143</v>
      </c>
    </row>
    <row r="7" spans="1:8">
      <c r="A7" s="109" t="s">
        <v>48</v>
      </c>
      <c r="B7" s="106" t="s">
        <v>16</v>
      </c>
      <c r="C7" s="109" t="s">
        <v>144</v>
      </c>
    </row>
    <row r="8" spans="1:8">
      <c r="A8" s="109" t="s">
        <v>49</v>
      </c>
      <c r="B8" s="106" t="s">
        <v>17</v>
      </c>
      <c r="C8" s="109" t="s">
        <v>206</v>
      </c>
    </row>
    <row r="9" spans="1:8">
      <c r="A9" s="109" t="s">
        <v>50</v>
      </c>
      <c r="B9" s="106" t="s">
        <v>18</v>
      </c>
      <c r="C9" s="109" t="s">
        <v>145</v>
      </c>
    </row>
    <row r="10" spans="1:8">
      <c r="A10" s="109" t="s">
        <v>51</v>
      </c>
      <c r="B10" s="106" t="s">
        <v>213</v>
      </c>
      <c r="C10" s="109" t="s">
        <v>146</v>
      </c>
    </row>
    <row r="13" spans="1:8">
      <c r="A13" s="109" t="s">
        <v>19</v>
      </c>
      <c r="B13" s="106" t="s">
        <v>14</v>
      </c>
      <c r="C13" s="106" t="s">
        <v>147</v>
      </c>
    </row>
    <row r="14" spans="1:8">
      <c r="A14" s="109" t="s">
        <v>245</v>
      </c>
      <c r="B14" s="106" t="s">
        <v>247</v>
      </c>
      <c r="C14" s="106" t="s">
        <v>249</v>
      </c>
    </row>
    <row r="15" spans="1:8">
      <c r="A15" s="109" t="s">
        <v>246</v>
      </c>
      <c r="B15" s="106" t="s">
        <v>248</v>
      </c>
      <c r="C15" s="106" t="s">
        <v>250</v>
      </c>
    </row>
    <row r="16" spans="1:8">
      <c r="A16" s="109" t="s">
        <v>251</v>
      </c>
      <c r="B16" s="106" t="s">
        <v>252</v>
      </c>
      <c r="C16" s="106" t="s">
        <v>253</v>
      </c>
    </row>
    <row r="17" spans="1:3">
      <c r="A17" s="109" t="s">
        <v>86</v>
      </c>
      <c r="B17" s="106" t="s">
        <v>15</v>
      </c>
      <c r="C17" s="109" t="s">
        <v>148</v>
      </c>
    </row>
    <row r="18" spans="1:3">
      <c r="A18" s="109" t="s">
        <v>72</v>
      </c>
      <c r="B18" s="109" t="s">
        <v>73</v>
      </c>
      <c r="C18" s="106" t="s">
        <v>74</v>
      </c>
    </row>
    <row r="19" spans="1:3">
      <c r="A19" s="109"/>
      <c r="B19" s="110" t="str">
        <f>IF(B$1=1,A23,IF(B$1=2,B23,IF(B$1=3,C23)))</f>
        <v>ABŞ dolları</v>
      </c>
      <c r="C19" s="106">
        <v>3</v>
      </c>
    </row>
    <row r="20" spans="1:3">
      <c r="A20" s="109"/>
      <c r="B20" s="110" t="str">
        <f>IF(B$1=1,A24,IF(B$1=2,B24,IF(B$1=3,C24)))</f>
        <v>AVRO</v>
      </c>
    </row>
    <row r="21" spans="1:3">
      <c r="A21" s="109"/>
      <c r="B21" s="110" t="str">
        <f>IF(B$1=1,A25,IF(B$1=2,B25,IF(B$1=3,C25)))</f>
        <v>AZN</v>
      </c>
    </row>
    <row r="22" spans="1:3">
      <c r="A22" s="109"/>
      <c r="B22" s="110" t="str">
        <f>IF(C19=1,B19,IF(C19=2,B20,IF(C19=3,B21)))</f>
        <v>AZN</v>
      </c>
    </row>
    <row r="23" spans="1:3">
      <c r="A23" s="109" t="s">
        <v>75</v>
      </c>
      <c r="B23" s="109" t="s">
        <v>81</v>
      </c>
      <c r="C23" s="106" t="s">
        <v>77</v>
      </c>
    </row>
    <row r="24" spans="1:3">
      <c r="A24" s="109" t="s">
        <v>79</v>
      </c>
      <c r="B24" s="109" t="s">
        <v>80</v>
      </c>
      <c r="C24" s="106" t="s">
        <v>78</v>
      </c>
    </row>
    <row r="25" spans="1:3">
      <c r="A25" s="109" t="s">
        <v>76</v>
      </c>
      <c r="B25" s="109" t="s">
        <v>76</v>
      </c>
      <c r="C25" s="106" t="s">
        <v>76</v>
      </c>
    </row>
    <row r="26" spans="1:3">
      <c r="A26" s="109" t="s">
        <v>20</v>
      </c>
      <c r="B26" s="111" t="s">
        <v>21</v>
      </c>
      <c r="C26" s="109" t="s">
        <v>149</v>
      </c>
    </row>
    <row r="27" spans="1:3">
      <c r="A27" s="109" t="s">
        <v>154</v>
      </c>
      <c r="B27" s="106" t="s">
        <v>22</v>
      </c>
      <c r="C27" s="109" t="s">
        <v>186</v>
      </c>
    </row>
    <row r="28" spans="1:3">
      <c r="A28" s="109" t="s">
        <v>155</v>
      </c>
      <c r="B28" s="112" t="s">
        <v>23</v>
      </c>
      <c r="C28" s="109" t="s">
        <v>194</v>
      </c>
    </row>
    <row r="29" spans="1:3">
      <c r="A29" s="113" t="s">
        <v>156</v>
      </c>
      <c r="B29" s="106" t="str">
        <f>"-НДС"</f>
        <v>-НДС</v>
      </c>
      <c r="C29" s="109" t="s">
        <v>193</v>
      </c>
    </row>
    <row r="30" spans="1:3">
      <c r="A30" s="113" t="s">
        <v>157</v>
      </c>
      <c r="B30" s="106" t="str">
        <f>"-Таможенная пошлина"</f>
        <v>-Таможенная пошлина</v>
      </c>
      <c r="C30" s="106" t="s">
        <v>187</v>
      </c>
    </row>
    <row r="31" spans="1:3">
      <c r="A31" s="113" t="s">
        <v>158</v>
      </c>
      <c r="B31" s="106" t="str">
        <f>"-Процедурные рассходы"</f>
        <v>-Процедурные рассходы</v>
      </c>
      <c r="C31" s="109" t="s">
        <v>188</v>
      </c>
    </row>
    <row r="32" spans="1:3">
      <c r="A32" s="113" t="s">
        <v>159</v>
      </c>
      <c r="B32" s="106" t="s">
        <v>24</v>
      </c>
      <c r="C32" s="106" t="s">
        <v>189</v>
      </c>
    </row>
    <row r="33" spans="1:3">
      <c r="A33" s="109" t="s">
        <v>160</v>
      </c>
      <c r="B33" s="106" t="s">
        <v>25</v>
      </c>
      <c r="C33" s="109" t="s">
        <v>190</v>
      </c>
    </row>
    <row r="34" spans="1:3">
      <c r="A34" s="114" t="s">
        <v>161</v>
      </c>
      <c r="B34" s="106" t="s">
        <v>191</v>
      </c>
      <c r="C34" s="109" t="s">
        <v>192</v>
      </c>
    </row>
    <row r="35" spans="1:3">
      <c r="A35" s="113" t="s">
        <v>162</v>
      </c>
      <c r="B35" s="106" t="s">
        <v>26</v>
      </c>
      <c r="C35" s="106" t="s">
        <v>195</v>
      </c>
    </row>
    <row r="36" spans="1:3">
      <c r="A36" s="114" t="s">
        <v>163</v>
      </c>
      <c r="B36" s="106" t="s">
        <v>27</v>
      </c>
      <c r="C36" s="109" t="s">
        <v>196</v>
      </c>
    </row>
    <row r="37" spans="1:3">
      <c r="A37" s="113" t="s">
        <v>164</v>
      </c>
      <c r="B37" s="106" t="s">
        <v>214</v>
      </c>
      <c r="C37" s="109" t="s">
        <v>197</v>
      </c>
    </row>
    <row r="38" spans="1:3">
      <c r="A38" s="113" t="s">
        <v>165</v>
      </c>
      <c r="B38" s="106" t="s">
        <v>28</v>
      </c>
      <c r="C38" s="106" t="s">
        <v>198</v>
      </c>
    </row>
    <row r="39" spans="1:3">
      <c r="A39" s="113" t="s">
        <v>166</v>
      </c>
      <c r="B39" s="112" t="s">
        <v>29</v>
      </c>
      <c r="C39" s="109" t="s">
        <v>199</v>
      </c>
    </row>
    <row r="40" spans="1:3">
      <c r="A40" s="113" t="s">
        <v>156</v>
      </c>
      <c r="B40" s="106" t="str">
        <f>"-НДС"</f>
        <v>-НДС</v>
      </c>
      <c r="C40" s="106" t="s">
        <v>193</v>
      </c>
    </row>
    <row r="41" spans="1:3">
      <c r="A41" s="113" t="s">
        <v>167</v>
      </c>
      <c r="B41" s="106" t="str">
        <f>"-Налог у источника выплат"</f>
        <v>-Налог у источника выплат</v>
      </c>
      <c r="C41" s="108"/>
    </row>
    <row r="42" spans="1:3">
      <c r="A42" s="113" t="s">
        <v>168</v>
      </c>
      <c r="B42" s="106" t="str">
        <f>"-Другие"</f>
        <v>-Другие</v>
      </c>
      <c r="C42" s="109" t="s">
        <v>130</v>
      </c>
    </row>
    <row r="43" spans="1:3">
      <c r="A43" s="113" t="s">
        <v>169</v>
      </c>
      <c r="B43" s="106" t="s">
        <v>30</v>
      </c>
      <c r="C43" s="109" t="s">
        <v>105</v>
      </c>
    </row>
    <row r="44" spans="1:3">
      <c r="A44" s="113" t="s">
        <v>170</v>
      </c>
      <c r="B44" s="106" t="s">
        <v>31</v>
      </c>
      <c r="C44" s="106" t="s">
        <v>200</v>
      </c>
    </row>
    <row r="45" spans="1:3">
      <c r="A45" s="113" t="s">
        <v>171</v>
      </c>
      <c r="B45" s="106" t="s">
        <v>32</v>
      </c>
      <c r="C45" s="109" t="s">
        <v>201</v>
      </c>
    </row>
    <row r="46" spans="1:3">
      <c r="A46" s="113" t="s">
        <v>172</v>
      </c>
      <c r="B46" s="106" t="s">
        <v>33</v>
      </c>
      <c r="C46" s="106" t="s">
        <v>202</v>
      </c>
    </row>
    <row r="47" spans="1:3">
      <c r="A47" s="113" t="s">
        <v>174</v>
      </c>
      <c r="B47" s="106" t="s">
        <v>34</v>
      </c>
      <c r="C47" s="109" t="s">
        <v>203</v>
      </c>
    </row>
    <row r="48" spans="1:3">
      <c r="A48" s="113" t="s">
        <v>173</v>
      </c>
      <c r="B48" s="106" t="s">
        <v>35</v>
      </c>
      <c r="C48" s="109" t="s">
        <v>204</v>
      </c>
    </row>
    <row r="49" spans="1:3">
      <c r="B49" s="115"/>
    </row>
    <row r="50" spans="1:3">
      <c r="B50" s="115" t="str">
        <f>IF(B1=1,A54,IF(B1=2,B54,IF(B1=3,C54)))</f>
        <v>Sahibkar</v>
      </c>
    </row>
    <row r="51" spans="1:3">
      <c r="B51" s="115" t="str">
        <f>IF(B1=1,A55,IF(B1=2,B55,IF(B1=3,C55)))</f>
        <v>Hüquqi şəxs</v>
      </c>
    </row>
    <row r="52" spans="1:3">
      <c r="B52" s="115">
        <v>1</v>
      </c>
    </row>
    <row r="53" spans="1:3">
      <c r="A53" s="106" t="s">
        <v>52</v>
      </c>
      <c r="B53" s="106" t="s">
        <v>36</v>
      </c>
    </row>
    <row r="54" spans="1:3">
      <c r="A54" s="106" t="s">
        <v>53</v>
      </c>
      <c r="B54" s="109" t="s">
        <v>37</v>
      </c>
      <c r="C54" s="106" t="s">
        <v>63</v>
      </c>
    </row>
    <row r="55" spans="1:3">
      <c r="A55" s="106" t="s">
        <v>54</v>
      </c>
      <c r="B55" s="109" t="s">
        <v>38</v>
      </c>
      <c r="C55" s="106" t="s">
        <v>64</v>
      </c>
    </row>
    <row r="56" spans="1:3">
      <c r="A56" s="109" t="s">
        <v>55</v>
      </c>
      <c r="B56" s="109" t="s">
        <v>9</v>
      </c>
      <c r="C56" s="106" t="s">
        <v>65</v>
      </c>
    </row>
    <row r="57" spans="1:3">
      <c r="A57" s="109" t="s">
        <v>215</v>
      </c>
      <c r="B57" s="109" t="s">
        <v>39</v>
      </c>
      <c r="C57" s="106" t="s">
        <v>69</v>
      </c>
    </row>
    <row r="58" spans="1:3">
      <c r="A58" s="109" t="s">
        <v>56</v>
      </c>
      <c r="B58" s="109" t="s">
        <v>10</v>
      </c>
      <c r="C58" s="106" t="s">
        <v>66</v>
      </c>
    </row>
    <row r="59" spans="1:3">
      <c r="A59" s="109" t="s">
        <v>59</v>
      </c>
      <c r="B59" s="109" t="s">
        <v>40</v>
      </c>
      <c r="C59" s="109" t="s">
        <v>68</v>
      </c>
    </row>
    <row r="60" spans="1:3">
      <c r="A60" s="109" t="s">
        <v>60</v>
      </c>
      <c r="B60" s="109" t="s">
        <v>42</v>
      </c>
      <c r="C60" s="109" t="s">
        <v>67</v>
      </c>
    </row>
    <row r="61" spans="1:3">
      <c r="A61" s="109" t="s">
        <v>61</v>
      </c>
      <c r="B61" s="109" t="s">
        <v>8</v>
      </c>
      <c r="C61" s="109" t="s">
        <v>70</v>
      </c>
    </row>
    <row r="62" spans="1:3">
      <c r="A62" s="109" t="s">
        <v>62</v>
      </c>
      <c r="B62" s="109" t="s">
        <v>41</v>
      </c>
      <c r="C62" s="109" t="s">
        <v>71</v>
      </c>
    </row>
    <row r="63" spans="1:3">
      <c r="A63" s="106" t="s">
        <v>57</v>
      </c>
      <c r="B63" s="109" t="s">
        <v>58</v>
      </c>
    </row>
    <row r="64" spans="1:3">
      <c r="A64" s="106" t="str">
        <f>IF(B52=1,A56,"")</f>
        <v>Adı</v>
      </c>
      <c r="B64" s="106" t="str">
        <f>IF(B52=1,B56,"")</f>
        <v>Имя</v>
      </c>
      <c r="C64" s="106" t="str">
        <f>IF(B52=1,C56,"")</f>
        <v>Name</v>
      </c>
    </row>
    <row r="65" spans="1:6">
      <c r="A65" s="106" t="str">
        <f>IF(B52=1,A57,"")</f>
        <v>Soyadı</v>
      </c>
      <c r="B65" s="106" t="str">
        <f>IF(B52=1,B57,"")</f>
        <v>Фамилия</v>
      </c>
      <c r="C65" s="106" t="str">
        <f>IF(B52=1,C57,"")</f>
        <v>Surname</v>
      </c>
    </row>
    <row r="66" spans="1:6">
      <c r="A66" s="106" t="str">
        <f>IF(B52=1,A58,"")</f>
        <v>Atasının adı</v>
      </c>
      <c r="B66" s="106" t="str">
        <f>IF(B52=1,B58,"")</f>
        <v>Отчество</v>
      </c>
      <c r="C66" s="106" t="str">
        <f>IF(B52=1,C58,"")</f>
        <v>Patronymic</v>
      </c>
    </row>
    <row r="67" spans="1:6">
      <c r="A67" s="106" t="str">
        <f>IF(B52=2,A59,"")</f>
        <v/>
      </c>
      <c r="B67" s="115" t="str">
        <f>IF(B52=2,B59,"")</f>
        <v/>
      </c>
      <c r="C67" s="106" t="str">
        <f>IF(B52=2,C59,"")</f>
        <v/>
      </c>
    </row>
    <row r="68" spans="1:6">
      <c r="A68" s="106" t="str">
        <f>IF(B52=2,A60,"")</f>
        <v/>
      </c>
      <c r="B68" s="115" t="str">
        <f>IF(B52=2,B60,"")</f>
        <v/>
      </c>
      <c r="C68" s="106" t="str">
        <f>IF(B52=2,C60,"")</f>
        <v/>
      </c>
    </row>
    <row r="69" spans="1:6">
      <c r="A69" s="106" t="str">
        <f>IF(B52=2,A61,"")</f>
        <v/>
      </c>
      <c r="B69" s="115" t="str">
        <f>IF(B52=2,B61,"")</f>
        <v/>
      </c>
      <c r="C69" s="106" t="str">
        <f>IF(B52=2,C61,"")</f>
        <v/>
      </c>
    </row>
    <row r="70" spans="1:6">
      <c r="A70" s="106" t="str">
        <f>IF(B52=2,A62,"")</f>
        <v/>
      </c>
      <c r="B70" s="115" t="str">
        <f>IF(B52=2,B62,"")</f>
        <v/>
      </c>
      <c r="C70" s="106" t="str">
        <f>IF(B52=2,C62,"")</f>
        <v/>
      </c>
    </row>
    <row r="71" spans="1:6">
      <c r="B71" s="115"/>
    </row>
    <row r="72" spans="1:6">
      <c r="B72" s="115" t="str">
        <f>IF(B$1=1,A64,IF(B$1=2,B64,IF(B$1=3,C64,"")))</f>
        <v>Adı</v>
      </c>
      <c r="E72" s="116"/>
      <c r="F72" s="106" t="s">
        <v>122</v>
      </c>
    </row>
    <row r="73" spans="1:6">
      <c r="B73" s="115" t="str">
        <f t="shared" ref="B73:B78" si="0">IF(B$1=1,A65,IF(B$1=2,B65,IF(B$1=3,C65,"")))</f>
        <v>Soyadı</v>
      </c>
      <c r="E73" s="117"/>
      <c r="F73" s="106" t="s">
        <v>124</v>
      </c>
    </row>
    <row r="74" spans="1:6">
      <c r="B74" s="115" t="str">
        <f t="shared" si="0"/>
        <v>Atasının adı</v>
      </c>
    </row>
    <row r="75" spans="1:6">
      <c r="B75" s="115" t="str">
        <f t="shared" si="0"/>
        <v/>
      </c>
    </row>
    <row r="76" spans="1:6">
      <c r="B76" s="115" t="str">
        <f t="shared" si="0"/>
        <v/>
      </c>
    </row>
    <row r="77" spans="1:6">
      <c r="B77" s="115" t="str">
        <f t="shared" si="0"/>
        <v/>
      </c>
    </row>
    <row r="78" spans="1:6">
      <c r="B78" s="115" t="str">
        <f t="shared" si="0"/>
        <v/>
      </c>
    </row>
    <row r="79" spans="1:6">
      <c r="A79" s="106" t="s">
        <v>118</v>
      </c>
      <c r="B79" s="115" t="s">
        <v>120</v>
      </c>
      <c r="C79" s="106" t="s">
        <v>175</v>
      </c>
    </row>
    <row r="80" spans="1:6">
      <c r="A80" s="106" t="s">
        <v>52</v>
      </c>
      <c r="B80" s="115" t="s">
        <v>36</v>
      </c>
      <c r="C80" s="106" t="s">
        <v>176</v>
      </c>
    </row>
    <row r="81" spans="1:3">
      <c r="B81" s="118" t="str">
        <f>IF(B1=1,A79,IF(B1=2,B79,IF(B1=3,C79)))</f>
        <v>Lizinq verən</v>
      </c>
    </row>
    <row r="82" spans="1:3">
      <c r="B82" s="118" t="str">
        <f>IF(B1=1,A80,IF(B1=2,B80,IF(B1=3,C80)))</f>
        <v>Lizinq alan</v>
      </c>
    </row>
    <row r="83" spans="1:3">
      <c r="B83" s="115" t="str">
        <f>IF(B52=1,"",IF(B52=2,Load!C50,""))</f>
        <v/>
      </c>
    </row>
    <row r="84" spans="1:3">
      <c r="B84" s="115" t="str">
        <f>CONCATENATE(MID(Load!C51,1,1),".",MID(Load!C53,1,1),".",Load!C52)</f>
        <v>S.H.Rəsulov</v>
      </c>
    </row>
    <row r="85" spans="1:3">
      <c r="A85" s="116" t="s">
        <v>121</v>
      </c>
      <c r="B85" s="115" t="s">
        <v>123</v>
      </c>
      <c r="C85" s="106" t="s">
        <v>177</v>
      </c>
    </row>
    <row r="86" spans="1:3">
      <c r="B86" s="118" t="str">
        <f>IF(B1=1,A85,IF(B1=2,B85,IF(B1=3,C85)))</f>
        <v>M.Y.</v>
      </c>
    </row>
    <row r="87" spans="1:3">
      <c r="B87" s="115" t="str">
        <f>IF(B52=1,"",IF(B52=2,B86,""))</f>
        <v/>
      </c>
    </row>
    <row r="88" spans="1:3">
      <c r="B88" s="115" t="s">
        <v>259</v>
      </c>
    </row>
    <row r="89" spans="1:3">
      <c r="A89" s="106" t="s">
        <v>272</v>
      </c>
      <c r="B89" s="115" t="s">
        <v>272</v>
      </c>
      <c r="C89" s="106" t="s">
        <v>272</v>
      </c>
    </row>
    <row r="90" spans="1:3">
      <c r="B90" s="115" t="str">
        <f>IF(B1=1,A89,IF(B1=2,B89,IF(B1=3,C89)))</f>
        <v>R.İ.Musayev</v>
      </c>
    </row>
    <row r="91" spans="1:3">
      <c r="B91" s="115" t="str">
        <f>Dates!AC1</f>
        <v/>
      </c>
    </row>
    <row r="92" spans="1:3">
      <c r="A92" s="106" t="s">
        <v>90</v>
      </c>
      <c r="B92" s="119" t="str">
        <f>Dates!Y1</f>
        <v>Месяцев</v>
      </c>
      <c r="C92" s="106" t="s">
        <v>91</v>
      </c>
    </row>
    <row r="93" spans="1:3">
      <c r="B93" s="115" t="str">
        <f>IF(B1=1,A92,IF(B1=2,B92,IF(B1=3,C92)))</f>
        <v>Ay</v>
      </c>
    </row>
    <row r="94" spans="1:3">
      <c r="B94" s="115" t="str">
        <f>IF(B1=1,A92,IF(B1=2,B91,IF(B1=3,C92)))</f>
        <v>Ay</v>
      </c>
    </row>
    <row r="95" spans="1:3">
      <c r="A95" s="106" t="s">
        <v>82</v>
      </c>
      <c r="B95" s="115" t="s">
        <v>93</v>
      </c>
      <c r="C95" s="106" t="s">
        <v>185</v>
      </c>
    </row>
    <row r="96" spans="1:3">
      <c r="B96" s="115" t="str">
        <f>IF(B1=1,A95,IF(B1=2,B95,IF(B1=3,C95)))</f>
        <v>Lizinq ödənişlərinin ümumi məbləği</v>
      </c>
    </row>
    <row r="97" spans="1:3">
      <c r="A97" s="106" t="s">
        <v>83</v>
      </c>
      <c r="B97" s="115" t="s">
        <v>94</v>
      </c>
      <c r="C97" s="106" t="s">
        <v>110</v>
      </c>
    </row>
    <row r="98" spans="1:3">
      <c r="B98" s="115" t="str">
        <f>IF(B1=1,A97,IF(B1=2,B97,IF(B1=3,C97)))</f>
        <v>o cümlədən:</v>
      </c>
    </row>
    <row r="99" spans="1:3">
      <c r="A99" s="106" t="s">
        <v>84</v>
      </c>
      <c r="B99" s="115" t="s">
        <v>95</v>
      </c>
      <c r="C99" s="106" t="s">
        <v>109</v>
      </c>
    </row>
    <row r="100" spans="1:3">
      <c r="B100" s="115" t="str">
        <f>IF(B1=1,A99,IF(B1=2,B99,IF(B1=3,C99)))</f>
        <v>Əsas məbləğ</v>
      </c>
    </row>
    <row r="101" spans="1:3">
      <c r="A101" s="109" t="s">
        <v>19</v>
      </c>
      <c r="B101" s="115" t="s">
        <v>14</v>
      </c>
      <c r="C101" s="106" t="s">
        <v>102</v>
      </c>
    </row>
    <row r="102" spans="1:3">
      <c r="A102" s="109"/>
      <c r="B102" s="115" t="str">
        <f>IF(B1=1,A101,IF(B1=2,B101,IF(B1=3,C101)))</f>
        <v>Avans</v>
      </c>
    </row>
    <row r="103" spans="1:3">
      <c r="A103" s="109" t="s">
        <v>85</v>
      </c>
      <c r="B103" s="115" t="s">
        <v>96</v>
      </c>
      <c r="C103" s="106" t="s">
        <v>103</v>
      </c>
    </row>
    <row r="104" spans="1:3">
      <c r="A104" s="109"/>
      <c r="B104" s="115" t="str">
        <f>IF(B1=1,A103,IF(B1=2,B103,IF(B1=3,C103)))</f>
        <v>Mükafat</v>
      </c>
    </row>
    <row r="105" spans="1:3">
      <c r="A105" s="109" t="s">
        <v>86</v>
      </c>
      <c r="B105" s="115" t="s">
        <v>97</v>
      </c>
      <c r="C105" s="106" t="s">
        <v>104</v>
      </c>
    </row>
    <row r="106" spans="1:3">
      <c r="A106" s="109"/>
      <c r="B106" s="115" t="str">
        <f>IF(B1=1,A105,IF(B1=2,B105,IF(B1=3,C105)))</f>
        <v>Birdəfəlik mükafat</v>
      </c>
    </row>
    <row r="107" spans="1:3">
      <c r="A107" s="106" t="s">
        <v>87</v>
      </c>
      <c r="B107" s="115" t="s">
        <v>216</v>
      </c>
      <c r="C107" s="106" t="s">
        <v>105</v>
      </c>
    </row>
    <row r="108" spans="1:3">
      <c r="B108" s="115" t="str">
        <f>IF(B1=1,A107,IF(B1=2,B107,IF(B1=3,C107)))</f>
        <v>Sığorta</v>
      </c>
    </row>
    <row r="109" spans="1:3">
      <c r="A109" s="106" t="s">
        <v>88</v>
      </c>
      <c r="B109" s="115" t="s">
        <v>98</v>
      </c>
      <c r="C109" s="106" t="s">
        <v>106</v>
      </c>
    </row>
    <row r="110" spans="1:3">
      <c r="B110" s="115" t="str">
        <f>IF(B1=1,A109,IF(B1=2,B109,IF(B1=3,C109)))</f>
        <v>Bank xərcləri</v>
      </c>
    </row>
    <row r="111" spans="1:3">
      <c r="A111" s="106" t="s">
        <v>89</v>
      </c>
      <c r="B111" s="115" t="s">
        <v>99</v>
      </c>
      <c r="C111" s="106" t="s">
        <v>107</v>
      </c>
    </row>
    <row r="112" spans="1:3">
      <c r="B112" s="115" t="str">
        <f>IF(B1=1,A111,IF(B1=2,B111,IF(B1=3,C111)))</f>
        <v>Lizinq müddəti</v>
      </c>
    </row>
    <row r="113" spans="1:3">
      <c r="A113" s="106" t="s">
        <v>101</v>
      </c>
      <c r="B113" s="115" t="s">
        <v>100</v>
      </c>
      <c r="C113" s="106" t="s">
        <v>108</v>
      </c>
    </row>
    <row r="114" spans="1:3">
      <c r="B114" s="115" t="str">
        <f>IF(B1=1,A113,IF(B1=2,B113,IF(B1=3,C113)))</f>
        <v>Qüzəşt ayları</v>
      </c>
    </row>
    <row r="115" spans="1:3">
      <c r="A115" s="106" t="str">
        <f>"daxildir:"</f>
        <v>daxildir:</v>
      </c>
      <c r="B115" s="106" t="str">
        <f>"в том числе"</f>
        <v>в том числе</v>
      </c>
      <c r="C115" s="106" t="str">
        <f>"insluded"</f>
        <v>insluded</v>
      </c>
    </row>
    <row r="116" spans="1:3">
      <c r="B116" s="106" t="str">
        <f>IF(B1=1,A115,IF(B1=2,B115,IF(B1=3,C115,"")))</f>
        <v>daxildir:</v>
      </c>
    </row>
    <row r="117" spans="1:3">
      <c r="A117" s="106" t="str">
        <f>"       Lizinq verənin vəsaiti"</f>
        <v xml:space="preserve">       Lizinq verənin vəsaiti</v>
      </c>
      <c r="B117" s="106" t="str">
        <f>"       Средства Лизингодателя"</f>
        <v xml:space="preserve">       Средства Лизингодателя</v>
      </c>
      <c r="C117" s="106" t="str">
        <f>"       Funds of Lessor"</f>
        <v xml:space="preserve">       Funds of Lessor</v>
      </c>
    </row>
    <row r="118" spans="1:3">
      <c r="B118" s="106" t="str">
        <f>IF(B1=1,A117,IF(B1=2,B117,IF(B1=3,C117,"")))</f>
        <v xml:space="preserve">       Lizinq verənin vəsaiti</v>
      </c>
    </row>
    <row r="119" spans="1:3">
      <c r="A119" s="106" t="str">
        <f>"       Lizinq alanın avansı"</f>
        <v xml:space="preserve">       Lizinq alanın avansı</v>
      </c>
      <c r="B119" s="106" t="str">
        <f>"       Средства Лизингополучателя"</f>
        <v xml:space="preserve">       Средства Лизингополучателя</v>
      </c>
      <c r="C119" s="106" t="str">
        <f>"       Funds of Lessee"</f>
        <v xml:space="preserve">       Funds of Lessee</v>
      </c>
    </row>
    <row r="120" spans="1:3">
      <c r="B120" s="106" t="str">
        <f>IF(B1=1,A119,IF(B1=2,B119,IF(B1=3,C119,"")))</f>
        <v xml:space="preserve">       Lizinq alanın avansı</v>
      </c>
    </row>
    <row r="121" spans="1:3">
      <c r="A121" s="106" t="s">
        <v>111</v>
      </c>
      <c r="B121" s="115" t="s">
        <v>217</v>
      </c>
      <c r="C121" s="106" t="s">
        <v>112</v>
      </c>
    </row>
    <row r="122" spans="1:3">
      <c r="B122" s="115" t="str">
        <f>IF(B1=1,A121,IF(B1=2,B121,IF(B1=3,C121)))</f>
        <v>Ödəmə qrafiki : əsas məbləğ və mükafat daxil edilməklə</v>
      </c>
    </row>
    <row r="123" spans="1:3">
      <c r="A123" s="106" t="str">
        <f>CONCATENATE(Load!C5, " saylı ",Load!C6, " tarixli daxili maliyyə lizinq müqaviləsinə Əlavə №3")</f>
        <v>S-042/14 saylı 02.12.14 tarixli daxili maliyyə lizinq müqaviləsinə Əlavə №3</v>
      </c>
      <c r="B123" s="115" t="str">
        <f>CONCATENATE("      Дополнение №3 к договору внутреннего лизинга L-",Load!C5," от ",Load!C6,"")</f>
        <v xml:space="preserve">      Дополнение №3 к договору внутреннего лизинга L-S-042/14 от 02.12.14</v>
      </c>
      <c r="C123" s="106" t="str">
        <f>CONCATENATE("      Annex #3 to the contract of internal leasing L-",Load!C5," ",Load!C6,"")</f>
        <v xml:space="preserve">      Annex #3 to the contract of internal leasing L-S-042/14 02.12.14</v>
      </c>
    </row>
    <row r="124" spans="1:3">
      <c r="B124" s="115" t="str">
        <f>IF(B1=1,A123,IF(B1=2,B123,IF(B1=3,C123)))</f>
        <v>S-042/14 saylı 02.12.14 tarixli daxili maliyyə lizinq müqaviləsinə Əlavə №3</v>
      </c>
    </row>
    <row r="125" spans="1:3">
      <c r="B125" s="115"/>
    </row>
    <row r="126" spans="1:3">
      <c r="B126" s="115"/>
    </row>
    <row r="127" spans="1:3">
      <c r="A127" s="106" t="s">
        <v>218</v>
      </c>
      <c r="B127" s="115" t="s">
        <v>126</v>
      </c>
      <c r="C127" s="106" t="s">
        <v>182</v>
      </c>
    </row>
    <row r="128" spans="1:3">
      <c r="A128" s="106" t="s">
        <v>125</v>
      </c>
      <c r="B128" s="115" t="s">
        <v>127</v>
      </c>
      <c r="C128" s="106" t="s">
        <v>130</v>
      </c>
    </row>
    <row r="129" spans="1:3">
      <c r="A129" s="106" t="s">
        <v>222</v>
      </c>
      <c r="B129" s="115" t="s">
        <v>139</v>
      </c>
      <c r="C129" s="106" t="s">
        <v>138</v>
      </c>
    </row>
    <row r="130" spans="1:3">
      <c r="A130" s="106" t="s">
        <v>267</v>
      </c>
      <c r="B130" s="120" t="s">
        <v>268</v>
      </c>
      <c r="C130" s="106" t="s">
        <v>238</v>
      </c>
    </row>
    <row r="131" spans="1:3">
      <c r="A131" s="106" t="s">
        <v>239</v>
      </c>
      <c r="B131" s="120" t="s">
        <v>240</v>
      </c>
      <c r="C131" s="106" t="s">
        <v>241</v>
      </c>
    </row>
    <row r="132" spans="1:3">
      <c r="A132" s="106" t="s">
        <v>269</v>
      </c>
      <c r="B132" s="120" t="s">
        <v>270</v>
      </c>
      <c r="C132" s="106" t="s">
        <v>137</v>
      </c>
    </row>
    <row r="133" spans="1:3">
      <c r="A133" s="106" t="s">
        <v>242</v>
      </c>
      <c r="B133" s="120" t="s">
        <v>243</v>
      </c>
      <c r="C133" s="106" t="s">
        <v>244</v>
      </c>
    </row>
    <row r="134" spans="1:3">
      <c r="A134" s="106" t="s">
        <v>113</v>
      </c>
      <c r="B134" s="115" t="s">
        <v>129</v>
      </c>
      <c r="C134" s="106" t="s">
        <v>128</v>
      </c>
    </row>
    <row r="135" spans="1:3">
      <c r="A135" s="109" t="s">
        <v>117</v>
      </c>
      <c r="B135" s="120" t="s">
        <v>131</v>
      </c>
      <c r="C135" s="106" t="s">
        <v>132</v>
      </c>
    </row>
    <row r="136" spans="1:3">
      <c r="B136" s="115" t="str">
        <f>IF(B1=1,A135,IF(B1=2,B135,IF(B1=3,C135)))</f>
        <v>Cəmi</v>
      </c>
    </row>
    <row r="137" spans="1:3">
      <c r="A137" s="106" t="s">
        <v>114</v>
      </c>
      <c r="B137" s="120" t="s">
        <v>133</v>
      </c>
      <c r="C137" s="109" t="s">
        <v>183</v>
      </c>
    </row>
    <row r="138" spans="1:3">
      <c r="A138" s="106" t="s">
        <v>115</v>
      </c>
      <c r="B138" s="120" t="s">
        <v>134</v>
      </c>
      <c r="C138" s="106" t="s">
        <v>135</v>
      </c>
    </row>
    <row r="139" spans="1:3">
      <c r="A139" s="106" t="s">
        <v>85</v>
      </c>
      <c r="B139" s="120"/>
      <c r="C139" s="109" t="s">
        <v>103</v>
      </c>
    </row>
    <row r="140" spans="1:3">
      <c r="A140" s="106" t="s">
        <v>84</v>
      </c>
      <c r="B140" s="120" t="s">
        <v>95</v>
      </c>
      <c r="C140" s="109" t="s">
        <v>136</v>
      </c>
    </row>
    <row r="141" spans="1:3">
      <c r="A141" s="106" t="s">
        <v>116</v>
      </c>
      <c r="B141" s="120"/>
      <c r="C141" s="106" t="s">
        <v>184</v>
      </c>
    </row>
    <row r="142" spans="1:3">
      <c r="B142" s="115"/>
    </row>
    <row r="143" spans="1:3">
      <c r="A143" s="109" t="s">
        <v>153</v>
      </c>
      <c r="B143" s="120" t="s">
        <v>150</v>
      </c>
      <c r="C143" s="106" t="s">
        <v>181</v>
      </c>
    </row>
    <row r="144" spans="1:3">
      <c r="B144" s="115" t="str">
        <f>IF(B1=1,A147,IF(B1=2,B147,IF(B1=3,C147)))</f>
        <v>Anuitet</v>
      </c>
    </row>
    <row r="145" spans="1:3">
      <c r="B145" s="115">
        <f>IF(B1=1,A148,IF(B1=2,B148,IF(B1=3,C148)))</f>
        <v>0</v>
      </c>
    </row>
    <row r="146" spans="1:3">
      <c r="B146" s="115">
        <v>1</v>
      </c>
    </row>
    <row r="147" spans="1:3">
      <c r="A147" s="106" t="s">
        <v>180</v>
      </c>
      <c r="B147" s="120" t="s">
        <v>151</v>
      </c>
      <c r="C147" s="106" t="s">
        <v>179</v>
      </c>
    </row>
    <row r="148" spans="1:3">
      <c r="B148" s="120" t="s">
        <v>152</v>
      </c>
      <c r="C148" s="106" t="s">
        <v>178</v>
      </c>
    </row>
    <row r="150" spans="1:3">
      <c r="B150" s="106" t="s">
        <v>211</v>
      </c>
    </row>
    <row r="151" spans="1:3">
      <c r="B151" s="106" t="s">
        <v>212</v>
      </c>
    </row>
    <row r="152" spans="1:3">
      <c r="B152" s="106" t="s">
        <v>92</v>
      </c>
    </row>
    <row r="153" spans="1:3">
      <c r="A153" s="106" t="s">
        <v>219</v>
      </c>
      <c r="B153" s="106" t="s">
        <v>220</v>
      </c>
      <c r="C153" s="106" t="s">
        <v>221</v>
      </c>
    </row>
    <row r="154" spans="1:3">
      <c r="B154" s="106" t="str">
        <f>IF(B1=1,A153,IF(B1=2,B153,IF(B1=3,C153,"")))</f>
        <v>Sığorta/Bank xərcləri</v>
      </c>
    </row>
    <row r="155" spans="1:3">
      <c r="A155" s="106" t="s">
        <v>224</v>
      </c>
      <c r="B155" s="106" t="s">
        <v>226</v>
      </c>
      <c r="C155" s="106" t="s">
        <v>228</v>
      </c>
    </row>
    <row r="156" spans="1:3">
      <c r="B156" s="106" t="str">
        <f>IF(B1=1,A155,IF(B1=2,B155,IF(B1=3,C155,"")))</f>
        <v>İllik bahalanma</v>
      </c>
    </row>
    <row r="157" spans="1:3">
      <c r="A157" s="106" t="s">
        <v>225</v>
      </c>
      <c r="B157" s="106" t="s">
        <v>227</v>
      </c>
      <c r="C157" s="106" t="s">
        <v>142</v>
      </c>
    </row>
    <row r="158" spans="1:3">
      <c r="B158" s="106" t="str">
        <f>IF(B1=1,A157,IF(B1=2,B157,IF(B1=3,C157,"")))</f>
        <v>İllik faiz dərəcəsi</v>
      </c>
    </row>
    <row r="159" spans="1:3">
      <c r="A159" s="106" t="s">
        <v>230</v>
      </c>
      <c r="B159" s="106" t="s">
        <v>231</v>
      </c>
      <c r="C159" s="106" t="s">
        <v>232</v>
      </c>
    </row>
    <row r="160" spans="1:3">
      <c r="B160" s="106" t="str">
        <f>IF(B1=1,A159,IF(B1=2,B159,IF(B1=3,C159,"")))</f>
        <v>Deklаrasiya</v>
      </c>
    </row>
    <row r="161" spans="1:3">
      <c r="A161" s="106" t="s">
        <v>233</v>
      </c>
      <c r="B161" s="106" t="s">
        <v>236</v>
      </c>
      <c r="C161" s="106" t="s">
        <v>234</v>
      </c>
    </row>
    <row r="162" spans="1:3">
      <c r="A162" s="106" t="s">
        <v>271</v>
      </c>
      <c r="B162" s="106" t="s">
        <v>237</v>
      </c>
      <c r="C162" s="106" t="s">
        <v>235</v>
      </c>
    </row>
    <row r="163" spans="1:3">
      <c r="B163" s="106" t="str">
        <f>IF(B1=1,A161,IF(B1=2,B161,IF(B1=3,C161,"")))</f>
        <v>Müştərinin hesabına</v>
      </c>
    </row>
    <row r="164" spans="1:3">
      <c r="B164" s="106" t="str">
        <f>IF(B1=1,A162,IF(B1=2,B162,IF(B1=3,C162,"")))</f>
        <v>"AGLizinq"in hesabına</v>
      </c>
    </row>
    <row r="165" spans="1:3">
      <c r="B165" s="121">
        <v>1</v>
      </c>
    </row>
  </sheetData>
  <sheetProtection formatCells="0" formatColumns="0" formatRows="0" insertColumns="0" insertRows="0" insertHyperlinks="0" deleteColumns="0" deleteRows="0" sort="0" autoFilter="0" pivotTables="0"/>
  <customSheetViews>
    <customSheetView guid="{2D8FE04E-10B5-4EAA-93D2-EE669C206AFD}" topLeftCell="A77">
      <selection activeCell="B87" sqref="B87"/>
      <pageMargins left="0.75" right="0.75" top="1" bottom="1" header="0.5" footer="0.5"/>
      <pageSetup paperSize="9" scale="67" orientation="portrait" r:id="rId1"/>
      <headerFooter alignWithMargins="0"/>
    </customSheetView>
    <customSheetView guid="{5171270A-F9AF-4D41-A7C6-60AFF57C569E}" topLeftCell="A109">
      <selection activeCell="B124" sqref="B124"/>
      <pageMargins left="0.75" right="0.75" top="1" bottom="1" header="0.5" footer="0.5"/>
      <pageSetup paperSize="9" scale="67" orientation="portrait" r:id="rId2"/>
      <headerFooter alignWithMargins="0"/>
    </customSheetView>
    <customSheetView guid="{13FA8F4C-0951-4875-9D44-4989C5CEBB01}" topLeftCell="A109">
      <selection activeCell="B124" sqref="B124"/>
      <pageMargins left="0.75" right="0.75" top="1" bottom="1" header="0.5" footer="0.5"/>
      <pageSetup paperSize="9" scale="67" orientation="portrait" r:id="rId3"/>
      <headerFooter alignWithMargins="0"/>
    </customSheetView>
    <customSheetView guid="{77B961DF-431A-4785-A57B-FF1BA0586569}" state="hidden" showRuler="0">
      <selection activeCell="E7" sqref="E7"/>
      <pageMargins left="0.75" right="0.75" top="1" bottom="1" header="0.5" footer="0.5"/>
      <pageSetup paperSize="9" scale="67" orientation="portrait" r:id="rId4"/>
      <headerFooter alignWithMargins="0"/>
    </customSheetView>
    <customSheetView guid="{AD887635-810A-407C-BA16-5AFA4A800B29}" state="hidden" showRuler="0">
      <selection activeCell="E7" sqref="E7"/>
      <pageMargins left="0.75" right="0.75" top="1" bottom="1" header="0.5" footer="0.5"/>
      <pageSetup paperSize="9" scale="67" orientation="portrait" r:id="rId5"/>
      <headerFooter alignWithMargins="0"/>
    </customSheetView>
    <customSheetView guid="{C56ABC15-C776-4280-9985-F20AC3F66C8A}" topLeftCell="A109">
      <selection activeCell="B124" sqref="B124"/>
      <pageMargins left="0.75" right="0.75" top="1" bottom="1" header="0.5" footer="0.5"/>
      <pageSetup paperSize="9" scale="67" orientation="portrait" r:id="rId6"/>
      <headerFooter alignWithMargins="0"/>
    </customSheetView>
  </customSheetViews>
  <phoneticPr fontId="2" type="noConversion"/>
  <pageMargins left="0.75" right="0.75" top="1" bottom="1" header="0.5" footer="0.5"/>
  <pageSetup paperSize="9" scale="67" orientation="portrait" r:id="rId7"/>
  <headerFooter alignWithMargins="0"/>
  <drawing r:id="rId8"/>
  <legacyDrawing r:id="rId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Main</vt:lpstr>
      <vt:lpstr>Load</vt:lpstr>
      <vt:lpstr>Mirror for payments</vt:lpstr>
      <vt:lpstr>AZN only</vt:lpstr>
      <vt:lpstr>Expenses</vt:lpstr>
      <vt:lpstr>Dates</vt:lpstr>
      <vt:lpstr>Languages</vt:lpstr>
      <vt:lpstr>'AZN only'!Print_Area</vt:lpstr>
      <vt:lpstr>Languages!Print_Area</vt:lpstr>
      <vt:lpstr>'Mirror for payments'!Print_Area</vt:lpstr>
    </vt:vector>
  </TitlesOfParts>
  <Company>AGLeasing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TH's</dc:title>
  <dc:creator>Teymur Heybatov</dc:creator>
  <cp:lastModifiedBy>Namik A. Heydarov</cp:lastModifiedBy>
  <cp:lastPrinted>2014-12-01T12:51:46Z</cp:lastPrinted>
  <dcterms:created xsi:type="dcterms:W3CDTF">2006-02-02T07:08:10Z</dcterms:created>
  <dcterms:modified xsi:type="dcterms:W3CDTF">2018-03-01T10:48:21Z</dcterms:modified>
</cp:coreProperties>
</file>